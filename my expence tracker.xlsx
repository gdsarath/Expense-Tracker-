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financial analyst\"/>
    </mc:Choice>
  </mc:AlternateContent>
  <xr:revisionPtr revIDLastSave="0" documentId="13_ncr:1_{CAE13601-4BE6-4056-AC43-670E9D58C4D0}" xr6:coauthVersionLast="47" xr6:coauthVersionMax="47" xr10:uidLastSave="{00000000-0000-0000-0000-000000000000}"/>
  <bookViews>
    <workbookView xWindow="-108" yWindow="-108" windowWidth="23256" windowHeight="12456" activeTab="2" xr2:uid="{DFC5CA80-D6FB-49B4-8CBC-F23B39F440AB}"/>
  </bookViews>
  <sheets>
    <sheet name="Category budget" sheetId="1" r:id="rId1"/>
    <sheet name="Expence Journal" sheetId="4" r:id="rId2"/>
    <sheet name="Summary of 2025" sheetId="10" r:id="rId3"/>
    <sheet name="Item &amp; Category" sheetId="3" r:id="rId4"/>
  </sheets>
  <definedNames>
    <definedName name="_xlnm._FilterDatabase" localSheetId="1" hidden="1">'Expence Journal'!$D$59:$E$120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9" i="4" l="1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D1" i="1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2" i="4"/>
</calcChain>
</file>

<file path=xl/sharedStrings.xml><?xml version="1.0" encoding="utf-8"?>
<sst xmlns="http://schemas.openxmlformats.org/spreadsheetml/2006/main" count="504" uniqueCount="168">
  <si>
    <t>Category</t>
  </si>
  <si>
    <t>House Rent</t>
  </si>
  <si>
    <t>Commute</t>
  </si>
  <si>
    <t>Insurance</t>
  </si>
  <si>
    <t>Mobile</t>
  </si>
  <si>
    <t>Internet</t>
  </si>
  <si>
    <t>Grooming</t>
  </si>
  <si>
    <t>Entertainment</t>
  </si>
  <si>
    <t>category</t>
  </si>
  <si>
    <t>house rent</t>
  </si>
  <si>
    <t>food &amp; grocery</t>
  </si>
  <si>
    <t>commute</t>
  </si>
  <si>
    <t>insurance</t>
  </si>
  <si>
    <t>utilities</t>
  </si>
  <si>
    <t>mobile</t>
  </si>
  <si>
    <t>internet</t>
  </si>
  <si>
    <t>grooming</t>
  </si>
  <si>
    <t>others</t>
  </si>
  <si>
    <t>entertainment</t>
  </si>
  <si>
    <t>amount</t>
  </si>
  <si>
    <t>Item Name</t>
  </si>
  <si>
    <t>Boating</t>
  </si>
  <si>
    <t>Skating</t>
  </si>
  <si>
    <t>ATM</t>
  </si>
  <si>
    <t>Bank charges</t>
  </si>
  <si>
    <t>Cloth Shopping</t>
  </si>
  <si>
    <t>Train Pass</t>
  </si>
  <si>
    <t>Petrol</t>
  </si>
  <si>
    <t>Bus Pass</t>
  </si>
  <si>
    <t>Amazon Prime</t>
  </si>
  <si>
    <t>Netflix</t>
  </si>
  <si>
    <t>Cinema</t>
  </si>
  <si>
    <t>Activity</t>
  </si>
  <si>
    <t>Theme park</t>
  </si>
  <si>
    <t>Museum</t>
  </si>
  <si>
    <t>Gym</t>
  </si>
  <si>
    <t>Grocery</t>
  </si>
  <si>
    <t>Reliance Supermarket</t>
  </si>
  <si>
    <t>BigBasket</t>
  </si>
  <si>
    <t>Swiggy</t>
  </si>
  <si>
    <t>Zomato</t>
  </si>
  <si>
    <t>Indian grocery</t>
  </si>
  <si>
    <t>Restaurant</t>
  </si>
  <si>
    <t>Icecream</t>
  </si>
  <si>
    <t>Pizza</t>
  </si>
  <si>
    <t>Coffee</t>
  </si>
  <si>
    <t>Restra</t>
  </si>
  <si>
    <t>Washing machine</t>
  </si>
  <si>
    <t>Couch</t>
  </si>
  <si>
    <t>Carpets</t>
  </si>
  <si>
    <t>Closet</t>
  </si>
  <si>
    <t>Furnishing</t>
  </si>
  <si>
    <t>Electricals</t>
  </si>
  <si>
    <t>Vacuum Cleaner</t>
  </si>
  <si>
    <t>Headset</t>
  </si>
  <si>
    <t>Gift</t>
  </si>
  <si>
    <t>SGB</t>
  </si>
  <si>
    <t>GoldBees</t>
  </si>
  <si>
    <t>Gold</t>
  </si>
  <si>
    <t>Hair cut</t>
  </si>
  <si>
    <t>Trim</t>
  </si>
  <si>
    <t>Eye brow</t>
  </si>
  <si>
    <t>Rent</t>
  </si>
  <si>
    <t>Renting</t>
  </si>
  <si>
    <t>Rental advance</t>
  </si>
  <si>
    <t>Household</t>
  </si>
  <si>
    <t>Visitor insurance</t>
  </si>
  <si>
    <t>Stocks</t>
  </si>
  <si>
    <t>Mutual Funds</t>
  </si>
  <si>
    <t>Zerodha</t>
  </si>
  <si>
    <t>Kite</t>
  </si>
  <si>
    <t>Coin</t>
  </si>
  <si>
    <t>Upstox</t>
  </si>
  <si>
    <t>AngelOne</t>
  </si>
  <si>
    <t>Groww</t>
  </si>
  <si>
    <t>Medical</t>
  </si>
  <si>
    <t>Moving service</t>
  </si>
  <si>
    <t>SIM Card</t>
  </si>
  <si>
    <t>Airtel</t>
  </si>
  <si>
    <t>Vodafone</t>
  </si>
  <si>
    <t>Jio</t>
  </si>
  <si>
    <t>Toilteries</t>
  </si>
  <si>
    <t>Tour</t>
  </si>
  <si>
    <t>Trip</t>
  </si>
  <si>
    <t>Emergency</t>
  </si>
  <si>
    <t>Unexpected</t>
  </si>
  <si>
    <t>Waste tax</t>
  </si>
  <si>
    <t>Power</t>
  </si>
  <si>
    <t>Gas</t>
  </si>
  <si>
    <t>Water bill</t>
  </si>
  <si>
    <t>Water tax</t>
  </si>
  <si>
    <t>Cash Withdrawal</t>
  </si>
  <si>
    <t>Charges</t>
  </si>
  <si>
    <t>Clothing</t>
  </si>
  <si>
    <t>Fitness</t>
  </si>
  <si>
    <t>Food and Grocery</t>
  </si>
  <si>
    <t>Gadgets</t>
  </si>
  <si>
    <t>Investments</t>
  </si>
  <si>
    <t>Misc</t>
  </si>
  <si>
    <t>Mobile &amp; Internet</t>
  </si>
  <si>
    <t>Toilteries and Household</t>
  </si>
  <si>
    <t>Travel</t>
  </si>
  <si>
    <t>Utility Bills</t>
  </si>
  <si>
    <t>Year</t>
  </si>
  <si>
    <t>Item</t>
  </si>
  <si>
    <t>Amount (₹)</t>
  </si>
  <si>
    <t>Day</t>
  </si>
  <si>
    <t>Month</t>
  </si>
  <si>
    <t>Notes</t>
  </si>
  <si>
    <t>sep</t>
  </si>
  <si>
    <t>atm</t>
  </si>
  <si>
    <t>coffee</t>
  </si>
  <si>
    <t>restaurant</t>
  </si>
  <si>
    <t>electricals</t>
  </si>
  <si>
    <t>mutual funds</t>
  </si>
  <si>
    <t>medical</t>
  </si>
  <si>
    <t>hair cut</t>
  </si>
  <si>
    <t>coin</t>
  </si>
  <si>
    <t>kite</t>
  </si>
  <si>
    <t>angelone</t>
  </si>
  <si>
    <t>upstox</t>
  </si>
  <si>
    <t>groww</t>
  </si>
  <si>
    <t>household</t>
  </si>
  <si>
    <t>sgb</t>
  </si>
  <si>
    <t>sim card</t>
  </si>
  <si>
    <t>jio</t>
  </si>
  <si>
    <t>gift</t>
  </si>
  <si>
    <t>trim</t>
  </si>
  <si>
    <t>emergency</t>
  </si>
  <si>
    <t>petrol</t>
  </si>
  <si>
    <t>washing machine</t>
  </si>
  <si>
    <t>gold</t>
  </si>
  <si>
    <t>trip</t>
  </si>
  <si>
    <t>water bill</t>
  </si>
  <si>
    <t>water tax</t>
  </si>
  <si>
    <t>gas</t>
  </si>
  <si>
    <t>icecream</t>
  </si>
  <si>
    <t>cinema</t>
  </si>
  <si>
    <t>theme park</t>
  </si>
  <si>
    <t>amazon prime</t>
  </si>
  <si>
    <t>netflix</t>
  </si>
  <si>
    <t>gym</t>
  </si>
  <si>
    <t>museum</t>
  </si>
  <si>
    <t>goldbees</t>
  </si>
  <si>
    <t>zerodha</t>
  </si>
  <si>
    <t>swiggy</t>
  </si>
  <si>
    <t>pizza</t>
  </si>
  <si>
    <t>activity</t>
  </si>
  <si>
    <t>bus pass</t>
  </si>
  <si>
    <t>power</t>
  </si>
  <si>
    <t>boating</t>
  </si>
  <si>
    <t>indian grocery</t>
  </si>
  <si>
    <t>train pass</t>
  </si>
  <si>
    <t>bank charges</t>
  </si>
  <si>
    <t>Row Labels</t>
  </si>
  <si>
    <t>Grand Total</t>
  </si>
  <si>
    <t>Sum of Amount (₹)</t>
  </si>
  <si>
    <t>Column Labels</t>
  </si>
  <si>
    <r>
      <rPr>
        <sz val="8"/>
        <rFont val="Arial"/>
        <family val="2"/>
      </rPr>
      <t>1,00,000.00</t>
    </r>
  </si>
  <si>
    <t>oct</t>
  </si>
  <si>
    <t>cloth shopping</t>
  </si>
  <si>
    <t>stocks</t>
  </si>
  <si>
    <t>tour</t>
  </si>
  <si>
    <t>airtel</t>
  </si>
  <si>
    <t>vodafone</t>
  </si>
  <si>
    <t>rent</t>
  </si>
  <si>
    <t>reliance supermarket</t>
  </si>
  <si>
    <t>zomato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</si>
</sst>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[$₹-4009]\ * #,##0.00_ ;_ [$₹-4009]\ * \-#,##0.00_ ;_ [$₹-4009]\ * &quot;-&quot;??_ ;_ @_ "/>
    <numFmt numFmtId="165" formatCode="&quot;₹&quot;\ #,##0"/>
    <numFmt numFmtId="166" formatCode="d"/>
    <numFmt numFmtId="167" formatCode="[$-F800]dddd\,\ mmmm\ dd\,\ yyyy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8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double">
        <color theme="0" tint="-0.34998626667073579"/>
      </left>
      <right style="double">
        <color theme="0" tint="-0.34998626667073579"/>
      </right>
      <top style="double">
        <color theme="0" tint="-0.34998626667073579"/>
      </top>
      <bottom style="double">
        <color theme="0" tint="-0.34998626667073579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0" fontId="4" fillId="0" borderId="1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5" fillId="0" borderId="2" xfId="0" applyFont="1" applyBorder="1"/>
    <xf numFmtId="0" fontId="3" fillId="0" borderId="1" xfId="0" applyFont="1" applyBorder="1" applyAlignment="1">
      <alignment wrapText="1"/>
    </xf>
    <xf numFmtId="165" fontId="0" fillId="0" borderId="0" xfId="0" applyNumberFormat="1"/>
    <xf numFmtId="0" fontId="3" fillId="0" borderId="4" xfId="0" applyFont="1" applyBorder="1" applyAlignment="1">
      <alignment wrapText="1"/>
    </xf>
    <xf numFmtId="0" fontId="0" fillId="0" borderId="5" xfId="0" applyBorder="1" applyAlignment="1">
      <alignment horizontal="center"/>
    </xf>
    <xf numFmtId="165" fontId="6" fillId="0" borderId="5" xfId="0" applyNumberFormat="1" applyFont="1" applyBorder="1" applyAlignment="1">
      <alignment horizontal="center" vertical="top"/>
    </xf>
    <xf numFmtId="0" fontId="0" fillId="0" borderId="5" xfId="0" applyBorder="1"/>
    <xf numFmtId="0" fontId="3" fillId="0" borderId="5" xfId="0" applyFont="1" applyBorder="1" applyAlignment="1">
      <alignment horizontal="center" wrapText="1"/>
    </xf>
    <xf numFmtId="165" fontId="3" fillId="0" borderId="5" xfId="0" applyNumberFormat="1" applyFont="1" applyBorder="1" applyAlignment="1">
      <alignment horizontal="center" wrapText="1"/>
    </xf>
    <xf numFmtId="0" fontId="3" fillId="0" borderId="5" xfId="0" applyFont="1" applyBorder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" fontId="0" fillId="0" borderId="0" xfId="0" applyNumberFormat="1"/>
    <xf numFmtId="167" fontId="3" fillId="0" borderId="5" xfId="0" applyNumberFormat="1" applyFont="1" applyBorder="1" applyAlignment="1">
      <alignment horizontal="center" wrapText="1"/>
    </xf>
    <xf numFmtId="167" fontId="6" fillId="0" borderId="5" xfId="0" applyNumberFormat="1" applyFont="1" applyBorder="1" applyAlignment="1">
      <alignment horizontal="center" vertical="top"/>
    </xf>
    <xf numFmtId="167" fontId="0" fillId="0" borderId="0" xfId="0" applyNumberFormat="1" applyAlignment="1">
      <alignment horizontal="center"/>
    </xf>
    <xf numFmtId="14" fontId="6" fillId="0" borderId="5" xfId="0" applyNumberFormat="1" applyFont="1" applyBorder="1" applyAlignment="1">
      <alignment horizontal="center" vertical="top"/>
    </xf>
  </cellXfs>
  <cellStyles count="1">
    <cellStyle name="Normal" xfId="0" builtinId="0"/>
  </cellStyles>
  <dxfs count="1"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152400</xdr:colOff>
      <xdr:row>1</xdr:row>
      <xdr:rowOff>87290</xdr:rowOff>
    </xdr:from>
    <xdr:to>
      <xdr:col>17</xdr:col>
      <xdr:colOff>175260</xdr:colOff>
      <xdr:row>27</xdr:row>
      <xdr:rowOff>2656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EB674C-35EE-8336-96D3-795F04D105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89220" y="270170"/>
          <a:ext cx="6728460" cy="4670246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rath" refreshedDate="45984.589646759261" createdVersion="8" refreshedVersion="8" minRefreshableVersion="3" recordCount="134" xr:uid="{C267FFDB-4840-420E-BEA0-4BBBB274B723}">
  <cacheSource type="worksheet">
    <worksheetSource ref="A1:G135" sheet="Expence Journal"/>
  </cacheSource>
  <cacheFields count="7">
    <cacheField name="Year" numFmtId="0">
      <sharedItems containsSemiMixedTypes="0" containsString="0" containsNumber="1" containsInteger="1" minValue="2025" maxValue="2025"/>
    </cacheField>
    <cacheField name="Item" numFmtId="0">
      <sharedItems containsBlank="1" count="58">
        <s v="ATM"/>
        <s v="restaurant"/>
        <s v="electricals"/>
        <s v="mutual funds"/>
        <s v="medical"/>
        <s v="coffee"/>
        <s v="insurance"/>
        <s v="hair cut"/>
        <s v="coin"/>
        <s v="kite"/>
        <s v="angelone"/>
        <s v="upstox"/>
        <s v="groww"/>
        <s v="household"/>
        <s v="sgb"/>
        <s v="mobile"/>
        <s v="sim card"/>
        <s v="jio"/>
        <s v="gift"/>
        <s v="trim"/>
        <s v="emergency"/>
        <s v="petrol"/>
        <s v="washing machine"/>
        <s v="gold"/>
        <s v="trip"/>
        <s v="water bill"/>
        <s v="water tax"/>
        <s v="gas"/>
        <s v="icecream"/>
        <s v="cinema"/>
        <s v="theme park"/>
        <s v="amazon prime"/>
        <s v="netflix"/>
        <s v="bank charges"/>
        <s v="gym"/>
        <s v="museum"/>
        <s v="goldbees"/>
        <s v="swiggy"/>
        <s v="zerodha"/>
        <s v="pizza"/>
        <s v="activity"/>
        <s v="bus pass"/>
        <s v="power"/>
        <s v="boating"/>
        <s v="indian grocery"/>
        <s v="internet"/>
        <s v="train pass"/>
        <s v="cloth shopping"/>
        <s v="stocks"/>
        <s v="tour"/>
        <s v="airtel"/>
        <s v="vodafone"/>
        <s v="rent"/>
        <s v="reliance supermarket"/>
        <s v="Grocery"/>
        <s v="zomato"/>
        <s v="BigBasket"/>
        <m/>
      </sharedItems>
    </cacheField>
    <cacheField name="Amount (₹)" numFmtId="165">
      <sharedItems containsBlank="1" containsMixedTypes="1" containsNumber="1" minValue="10" maxValue="58000"/>
    </cacheField>
    <cacheField name="Day" numFmtId="166">
      <sharedItems containsNonDate="0" containsDate="1" containsString="0" containsBlank="1" minDate="1900-01-05T00:00:00" maxDate="2025-10-31T00:00:00"/>
    </cacheField>
    <cacheField name="Month" numFmtId="0">
      <sharedItems containsBlank="1" count="3">
        <s v="sep"/>
        <s v="oct"/>
        <m/>
      </sharedItems>
    </cacheField>
    <cacheField name="Category" numFmtId="0">
      <sharedItems containsBlank="1" count="23">
        <s v="Cash Withdrawal"/>
        <s v="Food and Grocery"/>
        <s v="Furnishing"/>
        <s v="Investments"/>
        <s v="Medical"/>
        <s v="Insurance"/>
        <s v="Grooming"/>
        <s v="Household"/>
        <s v="Gold"/>
        <s v="Gadgets"/>
        <s v="Mobile &amp; Internet"/>
        <s v="Gift"/>
        <s v="Unexpected"/>
        <s v="Commute"/>
        <s v="Tour"/>
        <s v="Utility Bills"/>
        <s v="Entertainment"/>
        <s v="Charges"/>
        <s v="Fitness"/>
        <s v="Activity"/>
        <s v="Clothing"/>
        <s v="House Rent"/>
        <m/>
      </sharedItems>
    </cacheField>
    <cacheField name="Note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4">
  <r>
    <n v="2025"/>
    <x v="0"/>
    <n v="58000"/>
    <d v="1900-01-05T00:00:00"/>
    <x v="0"/>
    <x v="0"/>
    <m/>
  </r>
  <r>
    <n v="2025"/>
    <x v="0"/>
    <n v="42000"/>
    <d v="1900-01-07T00:00:00"/>
    <x v="0"/>
    <x v="0"/>
    <m/>
  </r>
  <r>
    <n v="2025"/>
    <x v="1"/>
    <n v="5000"/>
    <d v="1900-01-07T00:00:00"/>
    <x v="0"/>
    <x v="1"/>
    <m/>
  </r>
  <r>
    <n v="2025"/>
    <x v="2"/>
    <n v="1300"/>
    <d v="1900-01-07T00:00:00"/>
    <x v="0"/>
    <x v="2"/>
    <m/>
  </r>
  <r>
    <n v="2025"/>
    <x v="3"/>
    <n v="9000"/>
    <d v="1900-01-10T00:00:00"/>
    <x v="0"/>
    <x v="3"/>
    <m/>
  </r>
  <r>
    <n v="2025"/>
    <x v="4"/>
    <n v="1100"/>
    <d v="1900-01-10T00:00:00"/>
    <x v="0"/>
    <x v="4"/>
    <m/>
  </r>
  <r>
    <n v="2025"/>
    <x v="5"/>
    <n v="150"/>
    <d v="1900-01-10T00:00:00"/>
    <x v="0"/>
    <x v="1"/>
    <m/>
  </r>
  <r>
    <n v="2025"/>
    <x v="6"/>
    <n v="25000"/>
    <d v="1900-01-10T00:00:00"/>
    <x v="0"/>
    <x v="5"/>
    <m/>
  </r>
  <r>
    <n v="2025"/>
    <x v="7"/>
    <n v="500"/>
    <d v="1900-01-11T00:00:00"/>
    <x v="0"/>
    <x v="6"/>
    <m/>
  </r>
  <r>
    <n v="2025"/>
    <x v="8"/>
    <n v="5000"/>
    <d v="1900-01-11T00:00:00"/>
    <x v="0"/>
    <x v="3"/>
    <m/>
  </r>
  <r>
    <n v="2025"/>
    <x v="9"/>
    <n v="2000"/>
    <d v="1900-01-11T00:00:00"/>
    <x v="0"/>
    <x v="3"/>
    <m/>
  </r>
  <r>
    <n v="2025"/>
    <x v="10"/>
    <n v="5000"/>
    <d v="1900-01-12T00:00:00"/>
    <x v="0"/>
    <x v="3"/>
    <m/>
  </r>
  <r>
    <n v="2025"/>
    <x v="11"/>
    <n v="5000"/>
    <d v="1900-01-12T00:00:00"/>
    <x v="0"/>
    <x v="3"/>
    <m/>
  </r>
  <r>
    <n v="2025"/>
    <x v="12"/>
    <n v="5100"/>
    <d v="1900-01-12T00:00:00"/>
    <x v="0"/>
    <x v="3"/>
    <m/>
  </r>
  <r>
    <n v="2025"/>
    <x v="13"/>
    <n v="2000"/>
    <d v="1900-01-12T00:00:00"/>
    <x v="0"/>
    <x v="7"/>
    <m/>
  </r>
  <r>
    <n v="2025"/>
    <x v="14"/>
    <n v="5150"/>
    <d v="1900-01-12T00:00:00"/>
    <x v="0"/>
    <x v="8"/>
    <m/>
  </r>
  <r>
    <n v="2025"/>
    <x v="15"/>
    <n v="2000"/>
    <d v="1900-01-12T00:00:00"/>
    <x v="0"/>
    <x v="9"/>
    <m/>
  </r>
  <r>
    <n v="2025"/>
    <x v="16"/>
    <n v="2500"/>
    <d v="1900-01-12T00:00:00"/>
    <x v="0"/>
    <x v="10"/>
    <m/>
  </r>
  <r>
    <n v="2025"/>
    <x v="17"/>
    <n v="690"/>
    <d v="1900-01-12T00:00:00"/>
    <x v="0"/>
    <x v="10"/>
    <m/>
  </r>
  <r>
    <n v="2025"/>
    <x v="18"/>
    <n v="2456.17"/>
    <d v="1900-01-12T00:00:00"/>
    <x v="0"/>
    <x v="11"/>
    <m/>
  </r>
  <r>
    <n v="2025"/>
    <x v="19"/>
    <n v="740"/>
    <d v="1900-01-12T00:00:00"/>
    <x v="0"/>
    <x v="6"/>
    <m/>
  </r>
  <r>
    <n v="2025"/>
    <x v="20"/>
    <n v="50000"/>
    <d v="1900-01-15T00:00:00"/>
    <x v="0"/>
    <x v="12"/>
    <m/>
  </r>
  <r>
    <n v="2025"/>
    <x v="21"/>
    <n v="15000"/>
    <d v="1900-01-15T00:00:00"/>
    <x v="0"/>
    <x v="13"/>
    <m/>
  </r>
  <r>
    <n v="2025"/>
    <x v="22"/>
    <n v="14000"/>
    <d v="1900-01-15T00:00:00"/>
    <x v="0"/>
    <x v="2"/>
    <m/>
  </r>
  <r>
    <n v="2025"/>
    <x v="6"/>
    <n v="14000"/>
    <d v="1900-01-15T00:00:00"/>
    <x v="0"/>
    <x v="5"/>
    <m/>
  </r>
  <r>
    <n v="2025"/>
    <x v="23"/>
    <n v="14000"/>
    <d v="1900-01-15T00:00:00"/>
    <x v="0"/>
    <x v="8"/>
    <m/>
  </r>
  <r>
    <n v="2025"/>
    <x v="24"/>
    <n v="27000"/>
    <d v="1900-01-15T00:00:00"/>
    <x v="0"/>
    <x v="14"/>
    <m/>
  </r>
  <r>
    <n v="2025"/>
    <x v="25"/>
    <n v="500"/>
    <d v="1900-01-16T00:00:00"/>
    <x v="0"/>
    <x v="15"/>
    <m/>
  </r>
  <r>
    <n v="2025"/>
    <x v="26"/>
    <n v="500"/>
    <d v="1900-01-16T00:00:00"/>
    <x v="0"/>
    <x v="15"/>
    <m/>
  </r>
  <r>
    <n v="2025"/>
    <x v="27"/>
    <n v="2000"/>
    <d v="1900-01-16T00:00:00"/>
    <x v="0"/>
    <x v="15"/>
    <m/>
  </r>
  <r>
    <n v="2025"/>
    <x v="28"/>
    <n v="300"/>
    <d v="1900-01-16T00:00:00"/>
    <x v="0"/>
    <x v="1"/>
    <m/>
  </r>
  <r>
    <n v="2025"/>
    <x v="29"/>
    <n v="821"/>
    <d v="1900-01-17T00:00:00"/>
    <x v="0"/>
    <x v="16"/>
    <m/>
  </r>
  <r>
    <n v="2025"/>
    <x v="30"/>
    <n v="793"/>
    <d v="1900-01-17T00:00:00"/>
    <x v="0"/>
    <x v="16"/>
    <m/>
  </r>
  <r>
    <n v="2025"/>
    <x v="31"/>
    <n v="200"/>
    <d v="1900-01-17T00:00:00"/>
    <x v="0"/>
    <x v="16"/>
    <m/>
  </r>
  <r>
    <n v="2025"/>
    <x v="32"/>
    <n v="200"/>
    <d v="1900-01-17T00:00:00"/>
    <x v="0"/>
    <x v="16"/>
    <m/>
  </r>
  <r>
    <n v="2025"/>
    <x v="33"/>
    <n v="200"/>
    <d v="1900-01-18T00:00:00"/>
    <x v="0"/>
    <x v="17"/>
    <m/>
  </r>
  <r>
    <n v="2025"/>
    <x v="34"/>
    <n v="1578.01"/>
    <d v="1900-01-19T00:00:00"/>
    <x v="0"/>
    <x v="18"/>
    <m/>
  </r>
  <r>
    <n v="2025"/>
    <x v="35"/>
    <n v="500"/>
    <d v="1900-01-20T00:00:00"/>
    <x v="0"/>
    <x v="16"/>
    <m/>
  </r>
  <r>
    <n v="2025"/>
    <x v="15"/>
    <n v="899"/>
    <d v="1900-01-20T00:00:00"/>
    <x v="0"/>
    <x v="9"/>
    <m/>
  </r>
  <r>
    <n v="2025"/>
    <x v="36"/>
    <n v="50000"/>
    <d v="1900-01-21T00:00:00"/>
    <x v="0"/>
    <x v="8"/>
    <m/>
  </r>
  <r>
    <n v="2025"/>
    <x v="5"/>
    <n v="50"/>
    <d v="1900-01-21T00:00:00"/>
    <x v="0"/>
    <x v="1"/>
    <m/>
  </r>
  <r>
    <n v="2025"/>
    <x v="37"/>
    <n v="200"/>
    <d v="1900-01-22T00:00:00"/>
    <x v="0"/>
    <x v="1"/>
    <m/>
  </r>
  <r>
    <n v="2025"/>
    <x v="38"/>
    <n v="50000"/>
    <d v="1900-01-23T00:00:00"/>
    <x v="0"/>
    <x v="3"/>
    <m/>
  </r>
  <r>
    <n v="2025"/>
    <x v="39"/>
    <n v="500"/>
    <d v="1900-01-23T00:00:00"/>
    <x v="0"/>
    <x v="1"/>
    <m/>
  </r>
  <r>
    <n v="2025"/>
    <x v="40"/>
    <n v="299"/>
    <d v="1900-01-23T00:00:00"/>
    <x v="0"/>
    <x v="16"/>
    <m/>
  </r>
  <r>
    <n v="2025"/>
    <x v="41"/>
    <n v="150"/>
    <d v="1900-01-25T00:00:00"/>
    <x v="0"/>
    <x v="13"/>
    <m/>
  </r>
  <r>
    <n v="2025"/>
    <x v="42"/>
    <n v="300"/>
    <d v="1900-01-25T00:00:00"/>
    <x v="0"/>
    <x v="15"/>
    <m/>
  </r>
  <r>
    <n v="2025"/>
    <x v="41"/>
    <n v="260"/>
    <d v="1900-01-25T00:00:00"/>
    <x v="0"/>
    <x v="13"/>
    <m/>
  </r>
  <r>
    <n v="2025"/>
    <x v="5"/>
    <n v="80"/>
    <d v="1900-01-26T00:00:00"/>
    <x v="0"/>
    <x v="1"/>
    <m/>
  </r>
  <r>
    <n v="2025"/>
    <x v="4"/>
    <n v="300"/>
    <d v="1900-01-26T00:00:00"/>
    <x v="0"/>
    <x v="4"/>
    <m/>
  </r>
  <r>
    <n v="2025"/>
    <x v="43"/>
    <n v="300"/>
    <d v="1900-01-27T00:00:00"/>
    <x v="0"/>
    <x v="19"/>
    <m/>
  </r>
  <r>
    <n v="2025"/>
    <x v="44"/>
    <n v="179.5"/>
    <d v="1900-01-27T00:00:00"/>
    <x v="0"/>
    <x v="1"/>
    <m/>
  </r>
  <r>
    <n v="2025"/>
    <x v="5"/>
    <n v="10"/>
    <d v="1900-01-27T00:00:00"/>
    <x v="0"/>
    <x v="1"/>
    <m/>
  </r>
  <r>
    <n v="2025"/>
    <x v="34"/>
    <n v="400"/>
    <d v="1900-01-27T00:00:00"/>
    <x v="0"/>
    <x v="18"/>
    <m/>
  </r>
  <r>
    <n v="2025"/>
    <x v="45"/>
    <n v="200"/>
    <d v="1900-01-27T00:00:00"/>
    <x v="0"/>
    <x v="10"/>
    <m/>
  </r>
  <r>
    <n v="2025"/>
    <x v="42"/>
    <n v="100"/>
    <d v="1900-01-28T00:00:00"/>
    <x v="0"/>
    <x v="15"/>
    <m/>
  </r>
  <r>
    <n v="2025"/>
    <x v="46"/>
    <n v="100"/>
    <d v="1900-01-28T00:00:00"/>
    <x v="0"/>
    <x v="13"/>
    <m/>
  </r>
  <r>
    <n v="2025"/>
    <x v="6"/>
    <n v="58000"/>
    <d v="2025-10-01T00:00:00"/>
    <x v="1"/>
    <x v="5"/>
    <m/>
  </r>
  <r>
    <n v="2025"/>
    <x v="34"/>
    <n v="804.68"/>
    <d v="2025-10-01T00:00:00"/>
    <x v="1"/>
    <x v="18"/>
    <m/>
  </r>
  <r>
    <n v="2025"/>
    <x v="41"/>
    <n v="150"/>
    <d v="2025-10-01T00:00:00"/>
    <x v="1"/>
    <x v="13"/>
    <m/>
  </r>
  <r>
    <n v="2025"/>
    <x v="40"/>
    <n v="300"/>
    <d v="2025-10-01T00:00:00"/>
    <x v="1"/>
    <x v="16"/>
    <m/>
  </r>
  <r>
    <n v="2025"/>
    <x v="42"/>
    <n v="5000"/>
    <d v="2025-10-04T00:00:00"/>
    <x v="1"/>
    <x v="15"/>
    <m/>
  </r>
  <r>
    <n v="2025"/>
    <x v="4"/>
    <n v="5200"/>
    <d v="2025-10-06T00:00:00"/>
    <x v="1"/>
    <x v="4"/>
    <m/>
  </r>
  <r>
    <n v="2025"/>
    <x v="23"/>
    <n v="14000"/>
    <d v="2025-10-07T00:00:00"/>
    <x v="1"/>
    <x v="8"/>
    <m/>
  </r>
  <r>
    <n v="2025"/>
    <x v="5"/>
    <n v="50"/>
    <d v="2025-10-13T00:00:00"/>
    <x v="1"/>
    <x v="1"/>
    <m/>
  </r>
  <r>
    <n v="2025"/>
    <x v="47"/>
    <n v="2500"/>
    <d v="2025-10-13T00:00:00"/>
    <x v="1"/>
    <x v="20"/>
    <m/>
  </r>
  <r>
    <n v="2025"/>
    <x v="48"/>
    <n v="18449.59"/>
    <d v="2025-10-14T00:00:00"/>
    <x v="1"/>
    <x v="3"/>
    <m/>
  </r>
  <r>
    <n v="2025"/>
    <x v="12"/>
    <n v="20000"/>
    <d v="2025-10-14T00:00:00"/>
    <x v="1"/>
    <x v="3"/>
    <m/>
  </r>
  <r>
    <n v="2025"/>
    <x v="3"/>
    <n v="7200"/>
    <d v="2025-10-14T00:00:00"/>
    <x v="1"/>
    <x v="3"/>
    <m/>
  </r>
  <r>
    <n v="2025"/>
    <x v="24"/>
    <n v="12800"/>
    <d v="2025-10-14T00:00:00"/>
    <x v="1"/>
    <x v="14"/>
    <m/>
  </r>
  <r>
    <n v="2025"/>
    <x v="18"/>
    <n v="4500"/>
    <d v="2025-10-14T00:00:00"/>
    <x v="1"/>
    <x v="11"/>
    <m/>
  </r>
  <r>
    <n v="2025"/>
    <x v="18"/>
    <n v="4500"/>
    <d v="2025-10-14T00:00:00"/>
    <x v="1"/>
    <x v="11"/>
    <m/>
  </r>
  <r>
    <n v="2025"/>
    <x v="38"/>
    <n v="6500"/>
    <d v="2025-10-14T00:00:00"/>
    <x v="1"/>
    <x v="3"/>
    <m/>
  </r>
  <r>
    <n v="2025"/>
    <x v="36"/>
    <n v="7556.2493611357604"/>
    <d v="2025-10-14T00:00:00"/>
    <x v="1"/>
    <x v="8"/>
    <m/>
  </r>
  <r>
    <n v="2025"/>
    <x v="49"/>
    <n v="6500"/>
    <d v="2025-10-14T00:00:00"/>
    <x v="1"/>
    <x v="14"/>
    <m/>
  </r>
  <r>
    <n v="2025"/>
    <x v="25"/>
    <n v="13500"/>
    <d v="2025-10-14T00:00:00"/>
    <x v="1"/>
    <x v="15"/>
    <m/>
  </r>
  <r>
    <n v="2025"/>
    <x v="26"/>
    <n v="13000"/>
    <d v="2025-10-14T00:00:00"/>
    <x v="1"/>
    <x v="15"/>
    <m/>
  </r>
  <r>
    <n v="2025"/>
    <x v="13"/>
    <n v="7000"/>
    <d v="2025-10-14T00:00:00"/>
    <x v="1"/>
    <x v="7"/>
    <m/>
  </r>
  <r>
    <n v="2025"/>
    <x v="41"/>
    <n v="538.91999999999996"/>
    <d v="2025-10-15T00:00:00"/>
    <x v="1"/>
    <x v="13"/>
    <m/>
  </r>
  <r>
    <n v="2025"/>
    <x v="19"/>
    <n v="259"/>
    <d v="2025-10-16T00:00:00"/>
    <x v="1"/>
    <x v="6"/>
    <m/>
  </r>
  <r>
    <n v="2025"/>
    <x v="7"/>
    <n v="1470.4"/>
    <d v="2025-10-16T00:00:00"/>
    <x v="1"/>
    <x v="6"/>
    <m/>
  </r>
  <r>
    <n v="2025"/>
    <x v="50"/>
    <n v="850"/>
    <d v="2025-10-16T00:00:00"/>
    <x v="1"/>
    <x v="10"/>
    <m/>
  </r>
  <r>
    <n v="2025"/>
    <x v="51"/>
    <n v="696"/>
    <d v="2025-10-16T00:00:00"/>
    <x v="1"/>
    <x v="10"/>
    <m/>
  </r>
  <r>
    <n v="2025"/>
    <x v="51"/>
    <n v="500"/>
    <d v="2025-10-17T00:00:00"/>
    <x v="1"/>
    <x v="10"/>
    <m/>
  </r>
  <r>
    <n v="2025"/>
    <x v="17"/>
    <n v="200"/>
    <d v="2025-10-17T00:00:00"/>
    <x v="1"/>
    <x v="10"/>
    <m/>
  </r>
  <r>
    <n v="2025"/>
    <x v="46"/>
    <n v="160"/>
    <d v="2025-10-18T00:00:00"/>
    <x v="1"/>
    <x v="13"/>
    <m/>
  </r>
  <r>
    <n v="2025"/>
    <x v="32"/>
    <n v="1440"/>
    <d v="2025-10-18T00:00:00"/>
    <x v="1"/>
    <x v="16"/>
    <m/>
  </r>
  <r>
    <n v="2025"/>
    <x v="52"/>
    <n v="11500"/>
    <d v="2025-10-19T00:00:00"/>
    <x v="1"/>
    <x v="21"/>
    <m/>
  </r>
  <r>
    <n v="2025"/>
    <x v="46"/>
    <n v="885"/>
    <d v="2025-10-19T00:00:00"/>
    <x v="1"/>
    <x v="13"/>
    <m/>
  </r>
  <r>
    <n v="2025"/>
    <x v="0"/>
    <n v="7945.54"/>
    <d v="2025-10-20T00:00:00"/>
    <x v="1"/>
    <x v="0"/>
    <m/>
  </r>
  <r>
    <n v="2025"/>
    <x v="5"/>
    <n v="26.17"/>
    <d v="2025-10-20T00:00:00"/>
    <x v="1"/>
    <x v="1"/>
    <m/>
  </r>
  <r>
    <n v="2025"/>
    <x v="53"/>
    <n v="400"/>
    <d v="2025-10-20T00:00:00"/>
    <x v="1"/>
    <x v="1"/>
    <m/>
  </r>
  <r>
    <n v="2025"/>
    <x v="53"/>
    <n v="20.059999999999999"/>
    <d v="2025-10-21T00:00:00"/>
    <x v="1"/>
    <x v="1"/>
    <m/>
  </r>
  <r>
    <n v="2025"/>
    <x v="40"/>
    <n v="2000"/>
    <d v="2025-10-21T00:00:00"/>
    <x v="1"/>
    <x v="16"/>
    <m/>
  </r>
  <r>
    <n v="2025"/>
    <x v="21"/>
    <n v="6582.54"/>
    <d v="2025-10-22T00:00:00"/>
    <x v="1"/>
    <x v="13"/>
    <m/>
  </r>
  <r>
    <n v="2025"/>
    <x v="35"/>
    <n v="600"/>
    <d v="2025-10-22T00:00:00"/>
    <x v="1"/>
    <x v="16"/>
    <m/>
  </r>
  <r>
    <n v="2025"/>
    <x v="34"/>
    <n v="244.16"/>
    <d v="2025-10-22T00:00:00"/>
    <x v="1"/>
    <x v="18"/>
    <m/>
  </r>
  <r>
    <n v="2025"/>
    <x v="23"/>
    <s v="1,00,000.00"/>
    <d v="2025-10-22T00:00:00"/>
    <x v="1"/>
    <x v="8"/>
    <m/>
  </r>
  <r>
    <n v="2025"/>
    <x v="54"/>
    <n v="10500"/>
    <d v="2025-10-22T00:00:00"/>
    <x v="1"/>
    <x v="1"/>
    <m/>
  </r>
  <r>
    <n v="2025"/>
    <x v="5"/>
    <n v="194.16"/>
    <d v="2025-10-22T00:00:00"/>
    <x v="1"/>
    <x v="1"/>
    <m/>
  </r>
  <r>
    <n v="2025"/>
    <x v="29"/>
    <n v="3000"/>
    <d v="2025-10-23T00:00:00"/>
    <x v="1"/>
    <x v="16"/>
    <m/>
  </r>
  <r>
    <n v="2025"/>
    <x v="55"/>
    <n v="3495"/>
    <d v="2025-10-23T00:00:00"/>
    <x v="1"/>
    <x v="1"/>
    <m/>
  </r>
  <r>
    <n v="2025"/>
    <x v="41"/>
    <n v="20"/>
    <d v="2025-10-23T00:00:00"/>
    <x v="1"/>
    <x v="13"/>
    <m/>
  </r>
  <r>
    <n v="2025"/>
    <x v="41"/>
    <n v="20"/>
    <d v="2025-10-23T00:00:00"/>
    <x v="1"/>
    <x v="13"/>
    <m/>
  </r>
  <r>
    <n v="2025"/>
    <x v="52"/>
    <n v="30000"/>
    <d v="2025-10-24T00:00:00"/>
    <x v="1"/>
    <x v="21"/>
    <m/>
  </r>
  <r>
    <n v="2025"/>
    <x v="56"/>
    <n v="1400"/>
    <d v="2025-10-24T00:00:00"/>
    <x v="1"/>
    <x v="1"/>
    <m/>
  </r>
  <r>
    <n v="2025"/>
    <x v="42"/>
    <n v="661"/>
    <d v="2025-10-25T00:00:00"/>
    <x v="1"/>
    <x v="15"/>
    <m/>
  </r>
  <r>
    <n v="2025"/>
    <x v="41"/>
    <n v="1000"/>
    <d v="2025-10-25T00:00:00"/>
    <x v="1"/>
    <x v="13"/>
    <m/>
  </r>
  <r>
    <n v="2025"/>
    <x v="5"/>
    <n v="1000"/>
    <d v="2025-10-25T00:00:00"/>
    <x v="1"/>
    <x v="1"/>
    <m/>
  </r>
  <r>
    <n v="2025"/>
    <x v="4"/>
    <n v="1500"/>
    <d v="2025-10-25T00:00:00"/>
    <x v="1"/>
    <x v="4"/>
    <m/>
  </r>
  <r>
    <n v="2025"/>
    <x v="43"/>
    <n v="150"/>
    <d v="2025-10-27T00:00:00"/>
    <x v="1"/>
    <x v="19"/>
    <m/>
  </r>
  <r>
    <n v="2025"/>
    <x v="44"/>
    <n v="1500"/>
    <d v="2025-10-27T00:00:00"/>
    <x v="1"/>
    <x v="1"/>
    <m/>
  </r>
  <r>
    <n v="2025"/>
    <x v="5"/>
    <n v="525"/>
    <d v="2025-10-27T00:00:00"/>
    <x v="1"/>
    <x v="1"/>
    <m/>
  </r>
  <r>
    <n v="2025"/>
    <x v="34"/>
    <n v="100"/>
    <d v="2025-10-27T00:00:00"/>
    <x v="1"/>
    <x v="18"/>
    <m/>
  </r>
  <r>
    <n v="2025"/>
    <x v="45"/>
    <n v="200"/>
    <d v="2025-10-28T00:00:00"/>
    <x v="1"/>
    <x v="10"/>
    <m/>
  </r>
  <r>
    <n v="2025"/>
    <x v="42"/>
    <n v="10"/>
    <d v="2025-10-28T00:00:00"/>
    <x v="1"/>
    <x v="15"/>
    <m/>
  </r>
  <r>
    <n v="2025"/>
    <x v="46"/>
    <n v="300"/>
    <d v="2025-10-29T00:00:00"/>
    <x v="1"/>
    <x v="13"/>
    <m/>
  </r>
  <r>
    <n v="2025"/>
    <x v="6"/>
    <n v="400"/>
    <d v="2025-10-30T00:00:00"/>
    <x v="1"/>
    <x v="5"/>
    <m/>
  </r>
  <r>
    <n v="2025"/>
    <x v="21"/>
    <n v="250"/>
    <d v="2025-10-30T00:00:00"/>
    <x v="1"/>
    <x v="13"/>
    <m/>
  </r>
  <r>
    <n v="2025"/>
    <x v="57"/>
    <m/>
    <m/>
    <x v="2"/>
    <x v="22"/>
    <m/>
  </r>
  <r>
    <n v="2025"/>
    <x v="57"/>
    <m/>
    <m/>
    <x v="2"/>
    <x v="22"/>
    <m/>
  </r>
  <r>
    <n v="2025"/>
    <x v="57"/>
    <m/>
    <m/>
    <x v="2"/>
    <x v="22"/>
    <m/>
  </r>
  <r>
    <n v="2025"/>
    <x v="57"/>
    <m/>
    <m/>
    <x v="2"/>
    <x v="22"/>
    <m/>
  </r>
  <r>
    <n v="2025"/>
    <x v="57"/>
    <m/>
    <m/>
    <x v="2"/>
    <x v="22"/>
    <m/>
  </r>
  <r>
    <n v="2025"/>
    <x v="57"/>
    <m/>
    <m/>
    <x v="2"/>
    <x v="22"/>
    <m/>
  </r>
  <r>
    <n v="2025"/>
    <x v="57"/>
    <m/>
    <m/>
    <x v="2"/>
    <x v="22"/>
    <m/>
  </r>
  <r>
    <n v="2025"/>
    <x v="57"/>
    <m/>
    <m/>
    <x v="2"/>
    <x v="22"/>
    <m/>
  </r>
  <r>
    <n v="2025"/>
    <x v="57"/>
    <m/>
    <m/>
    <x v="2"/>
    <x v="22"/>
    <m/>
  </r>
  <r>
    <n v="2025"/>
    <x v="57"/>
    <m/>
    <m/>
    <x v="2"/>
    <x v="22"/>
    <m/>
  </r>
  <r>
    <n v="2025"/>
    <x v="57"/>
    <m/>
    <m/>
    <x v="2"/>
    <x v="22"/>
    <m/>
  </r>
  <r>
    <n v="2025"/>
    <x v="57"/>
    <m/>
    <m/>
    <x v="2"/>
    <x v="22"/>
    <m/>
  </r>
  <r>
    <n v="2025"/>
    <x v="57"/>
    <m/>
    <m/>
    <x v="2"/>
    <x v="22"/>
    <m/>
  </r>
  <r>
    <n v="2025"/>
    <x v="57"/>
    <m/>
    <m/>
    <x v="2"/>
    <x v="22"/>
    <m/>
  </r>
  <r>
    <n v="2025"/>
    <x v="57"/>
    <m/>
    <m/>
    <x v="2"/>
    <x v="2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08C639-5EFD-4D51-B636-8F9D522222A0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D82" firstHeaderRow="1" firstDataRow="2" firstDataCol="1"/>
  <pivotFields count="7">
    <pivotField showAll="0"/>
    <pivotField axis="axisRow" showAll="0" sortType="ascending">
      <items count="59">
        <item x="40"/>
        <item x="50"/>
        <item x="31"/>
        <item x="10"/>
        <item x="0"/>
        <item x="33"/>
        <item x="56"/>
        <item x="43"/>
        <item x="41"/>
        <item x="29"/>
        <item x="47"/>
        <item x="5"/>
        <item x="8"/>
        <item x="2"/>
        <item x="20"/>
        <item x="27"/>
        <item x="18"/>
        <item x="23"/>
        <item x="36"/>
        <item x="54"/>
        <item x="12"/>
        <item x="34"/>
        <item x="7"/>
        <item x="13"/>
        <item x="28"/>
        <item x="44"/>
        <item x="6"/>
        <item x="45"/>
        <item x="17"/>
        <item x="9"/>
        <item x="4"/>
        <item x="15"/>
        <item x="35"/>
        <item x="3"/>
        <item x="32"/>
        <item x="21"/>
        <item x="39"/>
        <item x="42"/>
        <item x="53"/>
        <item x="52"/>
        <item x="1"/>
        <item x="14"/>
        <item x="16"/>
        <item x="48"/>
        <item x="37"/>
        <item x="30"/>
        <item x="49"/>
        <item x="46"/>
        <item x="19"/>
        <item x="24"/>
        <item x="11"/>
        <item x="51"/>
        <item x="22"/>
        <item x="25"/>
        <item x="26"/>
        <item x="38"/>
        <item x="55"/>
        <item x="57"/>
        <item t="default"/>
      </items>
    </pivotField>
    <pivotField dataField="1" showAll="0"/>
    <pivotField showAll="0"/>
    <pivotField axis="axisCol" showAll="0">
      <items count="4">
        <item x="0"/>
        <item x="1"/>
        <item h="1" x="2"/>
        <item t="default"/>
      </items>
    </pivotField>
    <pivotField axis="axisRow" showAll="0">
      <items count="24">
        <item x="19"/>
        <item x="0"/>
        <item x="17"/>
        <item x="20"/>
        <item x="13"/>
        <item x="16"/>
        <item x="18"/>
        <item x="1"/>
        <item x="2"/>
        <item x="9"/>
        <item x="11"/>
        <item x="8"/>
        <item x="6"/>
        <item x="21"/>
        <item x="7"/>
        <item x="5"/>
        <item x="3"/>
        <item x="4"/>
        <item x="10"/>
        <item x="14"/>
        <item x="12"/>
        <item x="15"/>
        <item x="22"/>
        <item t="default"/>
      </items>
    </pivotField>
    <pivotField showAll="0"/>
  </pivotFields>
  <rowFields count="2">
    <field x="5"/>
    <field x="1"/>
  </rowFields>
  <rowItems count="80">
    <i>
      <x/>
    </i>
    <i r="1">
      <x v="7"/>
    </i>
    <i>
      <x v="1"/>
    </i>
    <i r="1">
      <x v="4"/>
    </i>
    <i>
      <x v="2"/>
    </i>
    <i r="1">
      <x v="5"/>
    </i>
    <i>
      <x v="3"/>
    </i>
    <i r="1">
      <x v="10"/>
    </i>
    <i>
      <x v="4"/>
    </i>
    <i r="1">
      <x v="8"/>
    </i>
    <i r="1">
      <x v="35"/>
    </i>
    <i r="1">
      <x v="47"/>
    </i>
    <i>
      <x v="5"/>
    </i>
    <i r="1">
      <x/>
    </i>
    <i r="1">
      <x v="2"/>
    </i>
    <i r="1">
      <x v="9"/>
    </i>
    <i r="1">
      <x v="32"/>
    </i>
    <i r="1">
      <x v="34"/>
    </i>
    <i r="1">
      <x v="45"/>
    </i>
    <i>
      <x v="6"/>
    </i>
    <i r="1">
      <x v="21"/>
    </i>
    <i>
      <x v="7"/>
    </i>
    <i r="1">
      <x v="6"/>
    </i>
    <i r="1">
      <x v="11"/>
    </i>
    <i r="1">
      <x v="19"/>
    </i>
    <i r="1">
      <x v="24"/>
    </i>
    <i r="1">
      <x v="25"/>
    </i>
    <i r="1">
      <x v="36"/>
    </i>
    <i r="1">
      <x v="38"/>
    </i>
    <i r="1">
      <x v="40"/>
    </i>
    <i r="1">
      <x v="44"/>
    </i>
    <i r="1">
      <x v="56"/>
    </i>
    <i>
      <x v="8"/>
    </i>
    <i r="1">
      <x v="13"/>
    </i>
    <i r="1">
      <x v="52"/>
    </i>
    <i>
      <x v="9"/>
    </i>
    <i r="1">
      <x v="31"/>
    </i>
    <i>
      <x v="10"/>
    </i>
    <i r="1">
      <x v="16"/>
    </i>
    <i>
      <x v="11"/>
    </i>
    <i r="1">
      <x v="17"/>
    </i>
    <i r="1">
      <x v="18"/>
    </i>
    <i r="1">
      <x v="41"/>
    </i>
    <i>
      <x v="12"/>
    </i>
    <i r="1">
      <x v="22"/>
    </i>
    <i r="1">
      <x v="48"/>
    </i>
    <i>
      <x v="13"/>
    </i>
    <i r="1">
      <x v="39"/>
    </i>
    <i>
      <x v="14"/>
    </i>
    <i r="1">
      <x v="23"/>
    </i>
    <i>
      <x v="15"/>
    </i>
    <i r="1">
      <x v="26"/>
    </i>
    <i>
      <x v="16"/>
    </i>
    <i r="1">
      <x v="3"/>
    </i>
    <i r="1">
      <x v="12"/>
    </i>
    <i r="1">
      <x v="20"/>
    </i>
    <i r="1">
      <x v="29"/>
    </i>
    <i r="1">
      <x v="33"/>
    </i>
    <i r="1">
      <x v="43"/>
    </i>
    <i r="1">
      <x v="50"/>
    </i>
    <i r="1">
      <x v="55"/>
    </i>
    <i>
      <x v="17"/>
    </i>
    <i r="1">
      <x v="30"/>
    </i>
    <i>
      <x v="18"/>
    </i>
    <i r="1">
      <x v="1"/>
    </i>
    <i r="1">
      <x v="27"/>
    </i>
    <i r="1">
      <x v="28"/>
    </i>
    <i r="1">
      <x v="42"/>
    </i>
    <i r="1">
      <x v="51"/>
    </i>
    <i>
      <x v="19"/>
    </i>
    <i r="1">
      <x v="46"/>
    </i>
    <i r="1">
      <x v="49"/>
    </i>
    <i>
      <x v="20"/>
    </i>
    <i r="1">
      <x v="14"/>
    </i>
    <i>
      <x v="21"/>
    </i>
    <i r="1">
      <x v="15"/>
    </i>
    <i r="1">
      <x v="37"/>
    </i>
    <i r="1">
      <x v="53"/>
    </i>
    <i r="1">
      <x v="54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Amount (₹)" fld="2" baseField="4" baseItem="0" numFmtId="1"/>
  </dataFields>
  <formats count="1">
    <format dxfId="0">
      <pivotArea outline="0" collapsedLevelsAreSubtotals="1" fieldPosition="0"/>
    </format>
  </format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F3116-B693-42D6-BBB1-0B2F2D9CEFE6}">
  <dimension ref="A1:D11"/>
  <sheetViews>
    <sheetView workbookViewId="0">
      <selection activeCell="D2" sqref="D2"/>
    </sheetView>
  </sheetViews>
  <sheetFormatPr defaultRowHeight="13.8" x14ac:dyDescent="0.25"/>
  <cols>
    <col min="1" max="1" width="20.6640625" style="1" customWidth="1"/>
    <col min="2" max="2" width="13.44140625" style="1" customWidth="1"/>
    <col min="3" max="3" width="8.88671875" style="1"/>
    <col min="4" max="4" width="14.44140625" style="1" bestFit="1" customWidth="1"/>
    <col min="5" max="16384" width="8.88671875" style="1"/>
  </cols>
  <sheetData>
    <row r="1" spans="1:4" ht="15" x14ac:dyDescent="0.25">
      <c r="A1" s="2" t="s">
        <v>8</v>
      </c>
      <c r="B1" s="1" t="s">
        <v>19</v>
      </c>
      <c r="D1" s="3">
        <f>SUM(B2:B11)</f>
        <v>108500</v>
      </c>
    </row>
    <row r="2" spans="1:4" x14ac:dyDescent="0.25">
      <c r="A2" s="1" t="s">
        <v>9</v>
      </c>
      <c r="B2" s="3">
        <v>10000</v>
      </c>
    </row>
    <row r="3" spans="1:4" x14ac:dyDescent="0.25">
      <c r="A3" s="1" t="s">
        <v>10</v>
      </c>
      <c r="B3" s="3">
        <v>10000</v>
      </c>
    </row>
    <row r="4" spans="1:4" x14ac:dyDescent="0.25">
      <c r="A4" s="1" t="s">
        <v>11</v>
      </c>
      <c r="B4" s="3">
        <v>2000</v>
      </c>
    </row>
    <row r="5" spans="1:4" x14ac:dyDescent="0.25">
      <c r="A5" s="1" t="s">
        <v>12</v>
      </c>
      <c r="B5" s="3">
        <v>50000</v>
      </c>
    </row>
    <row r="6" spans="1:4" x14ac:dyDescent="0.25">
      <c r="A6" s="1" t="s">
        <v>13</v>
      </c>
      <c r="B6" s="3">
        <v>20000</v>
      </c>
    </row>
    <row r="7" spans="1:4" x14ac:dyDescent="0.25">
      <c r="A7" s="1" t="s">
        <v>14</v>
      </c>
      <c r="B7" s="3">
        <v>1500</v>
      </c>
    </row>
    <row r="8" spans="1:4" x14ac:dyDescent="0.25">
      <c r="A8" s="1" t="s">
        <v>15</v>
      </c>
      <c r="B8" s="3">
        <v>1000</v>
      </c>
    </row>
    <row r="9" spans="1:4" x14ac:dyDescent="0.25">
      <c r="A9" s="1" t="s">
        <v>16</v>
      </c>
      <c r="B9" s="3">
        <v>1000</v>
      </c>
    </row>
    <row r="10" spans="1:4" x14ac:dyDescent="0.25">
      <c r="A10" s="1" t="s">
        <v>17</v>
      </c>
      <c r="B10" s="3">
        <v>10000</v>
      </c>
    </row>
    <row r="11" spans="1:4" x14ac:dyDescent="0.25">
      <c r="A11" s="1" t="s">
        <v>18</v>
      </c>
      <c r="B11" s="3">
        <v>3000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6367E-7254-42B7-B4D2-34BDC0ADE6AB}">
  <dimension ref="A1:H136"/>
  <sheetViews>
    <sheetView topLeftCell="A45" zoomScale="90" zoomScaleNormal="146" workbookViewId="0">
      <selection activeCell="I50" sqref="I50"/>
    </sheetView>
  </sheetViews>
  <sheetFormatPr defaultRowHeight="14.4" x14ac:dyDescent="0.3"/>
  <cols>
    <col min="1" max="1" width="14" customWidth="1"/>
    <col min="2" max="2" width="18.109375" customWidth="1"/>
    <col min="3" max="3" width="18.21875" style="8" customWidth="1"/>
    <col min="4" max="4" width="16.109375" style="22" customWidth="1"/>
    <col min="5" max="5" width="11.44140625" customWidth="1"/>
    <col min="6" max="6" width="25.21875" customWidth="1"/>
    <col min="7" max="7" width="15.109375" customWidth="1"/>
  </cols>
  <sheetData>
    <row r="1" spans="1:8" ht="15.6" thickTop="1" thickBot="1" x14ac:dyDescent="0.35">
      <c r="A1" s="13" t="s">
        <v>103</v>
      </c>
      <c r="B1" s="13" t="s">
        <v>104</v>
      </c>
      <c r="C1" s="14" t="s">
        <v>105</v>
      </c>
      <c r="D1" s="20" t="s">
        <v>106</v>
      </c>
      <c r="E1" s="13" t="s">
        <v>107</v>
      </c>
      <c r="F1" s="15" t="s">
        <v>0</v>
      </c>
      <c r="G1" s="9" t="s">
        <v>108</v>
      </c>
      <c r="H1" s="7"/>
    </row>
    <row r="2" spans="1:8" ht="15.6" thickTop="1" thickBot="1" x14ac:dyDescent="0.35">
      <c r="A2" s="10">
        <v>2025</v>
      </c>
      <c r="B2" s="10" t="s">
        <v>23</v>
      </c>
      <c r="C2" s="11">
        <v>58000</v>
      </c>
      <c r="D2" s="23">
        <v>45906</v>
      </c>
      <c r="E2" s="10" t="s">
        <v>109</v>
      </c>
      <c r="F2" s="12" t="str">
        <f>VLOOKUP(B2,'Item &amp; Category'!$A$1:$B$256,2,FALSE)</f>
        <v>Cash Withdrawal</v>
      </c>
    </row>
    <row r="3" spans="1:8" ht="15.6" thickTop="1" thickBot="1" x14ac:dyDescent="0.35">
      <c r="A3" s="10">
        <v>2025</v>
      </c>
      <c r="B3" s="10" t="s">
        <v>110</v>
      </c>
      <c r="C3" s="11">
        <v>42000</v>
      </c>
      <c r="D3" s="23">
        <v>45908</v>
      </c>
      <c r="E3" s="10" t="s">
        <v>109</v>
      </c>
      <c r="F3" s="12" t="str">
        <f>VLOOKUP(B3,'Item &amp; Category'!$A$1:$B$256,2,FALSE)</f>
        <v>Cash Withdrawal</v>
      </c>
    </row>
    <row r="4" spans="1:8" ht="15.6" thickTop="1" thickBot="1" x14ac:dyDescent="0.35">
      <c r="A4" s="10">
        <v>2025</v>
      </c>
      <c r="B4" s="10" t="s">
        <v>112</v>
      </c>
      <c r="C4" s="11">
        <v>5000</v>
      </c>
      <c r="D4" s="23">
        <v>45908</v>
      </c>
      <c r="E4" s="10" t="s">
        <v>109</v>
      </c>
      <c r="F4" s="12" t="str">
        <f>VLOOKUP(B4,'Item &amp; Category'!$A$1:$B$256,2,FALSE)</f>
        <v>Food and Grocery</v>
      </c>
    </row>
    <row r="5" spans="1:8" ht="15.6" thickTop="1" thickBot="1" x14ac:dyDescent="0.35">
      <c r="A5" s="10">
        <v>2025</v>
      </c>
      <c r="B5" s="10" t="s">
        <v>113</v>
      </c>
      <c r="C5" s="11">
        <v>1300</v>
      </c>
      <c r="D5" s="23">
        <v>45908</v>
      </c>
      <c r="E5" s="10" t="s">
        <v>109</v>
      </c>
      <c r="F5" s="12" t="str">
        <f>VLOOKUP(B5,'Item &amp; Category'!$A$1:$B$256,2,FALSE)</f>
        <v>Furnishing</v>
      </c>
    </row>
    <row r="6" spans="1:8" ht="15.6" thickTop="1" thickBot="1" x14ac:dyDescent="0.35">
      <c r="A6" s="10">
        <v>2025</v>
      </c>
      <c r="B6" s="10" t="s">
        <v>114</v>
      </c>
      <c r="C6" s="11">
        <v>9000</v>
      </c>
      <c r="D6" s="23">
        <v>45911</v>
      </c>
      <c r="E6" s="10" t="s">
        <v>109</v>
      </c>
      <c r="F6" s="12" t="str">
        <f>VLOOKUP(B6,'Item &amp; Category'!$A$1:$B$256,2,FALSE)</f>
        <v>Investments</v>
      </c>
    </row>
    <row r="7" spans="1:8" ht="15.6" thickTop="1" thickBot="1" x14ac:dyDescent="0.35">
      <c r="A7" s="10">
        <v>2025</v>
      </c>
      <c r="B7" s="10" t="s">
        <v>115</v>
      </c>
      <c r="C7" s="11">
        <v>1100</v>
      </c>
      <c r="D7" s="23">
        <v>45911</v>
      </c>
      <c r="E7" s="10" t="s">
        <v>109</v>
      </c>
      <c r="F7" s="12" t="str">
        <f>VLOOKUP(B7,'Item &amp; Category'!$A$1:$B$256,2,FALSE)</f>
        <v>Medical</v>
      </c>
    </row>
    <row r="8" spans="1:8" ht="15.6" thickTop="1" thickBot="1" x14ac:dyDescent="0.35">
      <c r="A8" s="10">
        <v>2025</v>
      </c>
      <c r="B8" s="10" t="s">
        <v>111</v>
      </c>
      <c r="C8" s="11">
        <v>150</v>
      </c>
      <c r="D8" s="23">
        <v>45911</v>
      </c>
      <c r="E8" s="10" t="s">
        <v>109</v>
      </c>
      <c r="F8" s="12" t="str">
        <f>VLOOKUP(B8,'Item &amp; Category'!$A$1:$B$256,2,FALSE)</f>
        <v>Food and Grocery</v>
      </c>
    </row>
    <row r="9" spans="1:8" ht="15.6" thickTop="1" thickBot="1" x14ac:dyDescent="0.35">
      <c r="A9" s="10">
        <v>2025</v>
      </c>
      <c r="B9" s="10" t="s">
        <v>12</v>
      </c>
      <c r="C9" s="11">
        <v>25000</v>
      </c>
      <c r="D9" s="23">
        <v>45911</v>
      </c>
      <c r="E9" s="10" t="s">
        <v>109</v>
      </c>
      <c r="F9" s="12" t="str">
        <f>VLOOKUP(B9,'Item &amp; Category'!$A$1:$B$256,2,FALSE)</f>
        <v>Insurance</v>
      </c>
    </row>
    <row r="10" spans="1:8" ht="15.6" thickTop="1" thickBot="1" x14ac:dyDescent="0.35">
      <c r="A10" s="10">
        <v>2025</v>
      </c>
      <c r="B10" s="10" t="s">
        <v>116</v>
      </c>
      <c r="C10" s="11">
        <v>500</v>
      </c>
      <c r="D10" s="23">
        <v>45912</v>
      </c>
      <c r="E10" s="10" t="s">
        <v>109</v>
      </c>
      <c r="F10" s="12" t="str">
        <f>VLOOKUP(B10,'Item &amp; Category'!$A$1:$B$256,2,FALSE)</f>
        <v>Grooming</v>
      </c>
    </row>
    <row r="11" spans="1:8" ht="15.6" thickTop="1" thickBot="1" x14ac:dyDescent="0.35">
      <c r="A11" s="10">
        <v>2025</v>
      </c>
      <c r="B11" s="10" t="s">
        <v>117</v>
      </c>
      <c r="C11" s="11">
        <v>5000</v>
      </c>
      <c r="D11" s="23">
        <v>45912</v>
      </c>
      <c r="E11" s="10" t="s">
        <v>109</v>
      </c>
      <c r="F11" s="12" t="str">
        <f>VLOOKUP(B11,'Item &amp; Category'!$A$1:$B$256,2,FALSE)</f>
        <v>Investments</v>
      </c>
    </row>
    <row r="12" spans="1:8" ht="15.6" thickTop="1" thickBot="1" x14ac:dyDescent="0.35">
      <c r="A12" s="10">
        <v>2025</v>
      </c>
      <c r="B12" s="10" t="s">
        <v>118</v>
      </c>
      <c r="C12" s="11">
        <v>2000</v>
      </c>
      <c r="D12" s="23">
        <v>45912</v>
      </c>
      <c r="E12" s="10" t="s">
        <v>109</v>
      </c>
      <c r="F12" s="12" t="str">
        <f>VLOOKUP(B12,'Item &amp; Category'!$A$1:$B$256,2,FALSE)</f>
        <v>Investments</v>
      </c>
    </row>
    <row r="13" spans="1:8" ht="15.6" thickTop="1" thickBot="1" x14ac:dyDescent="0.35">
      <c r="A13" s="10">
        <v>2025</v>
      </c>
      <c r="B13" s="10" t="s">
        <v>119</v>
      </c>
      <c r="C13" s="11">
        <v>5000</v>
      </c>
      <c r="D13" s="23">
        <v>45913</v>
      </c>
      <c r="E13" s="10" t="s">
        <v>109</v>
      </c>
      <c r="F13" s="12" t="str">
        <f>VLOOKUP(B13,'Item &amp; Category'!$A$1:$B$256,2,FALSE)</f>
        <v>Investments</v>
      </c>
    </row>
    <row r="14" spans="1:8" ht="15.6" thickTop="1" thickBot="1" x14ac:dyDescent="0.35">
      <c r="A14" s="10">
        <v>2025</v>
      </c>
      <c r="B14" s="10" t="s">
        <v>120</v>
      </c>
      <c r="C14" s="11">
        <v>5000</v>
      </c>
      <c r="D14" s="23">
        <v>45913</v>
      </c>
      <c r="E14" s="10" t="s">
        <v>109</v>
      </c>
      <c r="F14" s="12" t="str">
        <f>VLOOKUP(B14,'Item &amp; Category'!$A$1:$B$256,2,FALSE)</f>
        <v>Investments</v>
      </c>
    </row>
    <row r="15" spans="1:8" ht="15.6" thickTop="1" thickBot="1" x14ac:dyDescent="0.35">
      <c r="A15" s="10">
        <v>2025</v>
      </c>
      <c r="B15" s="10" t="s">
        <v>121</v>
      </c>
      <c r="C15" s="11">
        <v>5100</v>
      </c>
      <c r="D15" s="23">
        <v>45913</v>
      </c>
      <c r="E15" s="10" t="s">
        <v>109</v>
      </c>
      <c r="F15" s="12" t="str">
        <f>VLOOKUP(B15,'Item &amp; Category'!$A$1:$B$256,2,FALSE)</f>
        <v>Investments</v>
      </c>
    </row>
    <row r="16" spans="1:8" ht="15.6" thickTop="1" thickBot="1" x14ac:dyDescent="0.35">
      <c r="A16" s="10">
        <v>2025</v>
      </c>
      <c r="B16" s="10" t="s">
        <v>122</v>
      </c>
      <c r="C16" s="11">
        <v>2000</v>
      </c>
      <c r="D16" s="23">
        <v>45913</v>
      </c>
      <c r="E16" s="10" t="s">
        <v>109</v>
      </c>
      <c r="F16" s="12" t="str">
        <f>VLOOKUP(B16,'Item &amp; Category'!$A$1:$B$256,2,FALSE)</f>
        <v>Household</v>
      </c>
    </row>
    <row r="17" spans="1:6" ht="15.6" thickTop="1" thickBot="1" x14ac:dyDescent="0.35">
      <c r="A17" s="10">
        <v>2025</v>
      </c>
      <c r="B17" s="10" t="s">
        <v>123</v>
      </c>
      <c r="C17" s="11">
        <v>5150</v>
      </c>
      <c r="D17" s="23">
        <v>45913</v>
      </c>
      <c r="E17" s="10" t="s">
        <v>109</v>
      </c>
      <c r="F17" s="12" t="str">
        <f>VLOOKUP(B17,'Item &amp; Category'!$A$1:$B$256,2,FALSE)</f>
        <v>Gold</v>
      </c>
    </row>
    <row r="18" spans="1:6" ht="15.6" thickTop="1" thickBot="1" x14ac:dyDescent="0.35">
      <c r="A18" s="10">
        <v>2025</v>
      </c>
      <c r="B18" s="10" t="s">
        <v>14</v>
      </c>
      <c r="C18" s="11">
        <v>2000</v>
      </c>
      <c r="D18" s="23">
        <v>45913</v>
      </c>
      <c r="E18" s="10" t="s">
        <v>109</v>
      </c>
      <c r="F18" s="12" t="str">
        <f>VLOOKUP(B18,'Item &amp; Category'!$A$1:$B$256,2,FALSE)</f>
        <v>Gadgets</v>
      </c>
    </row>
    <row r="19" spans="1:6" ht="15.6" thickTop="1" thickBot="1" x14ac:dyDescent="0.35">
      <c r="A19" s="10">
        <v>2025</v>
      </c>
      <c r="B19" s="10" t="s">
        <v>124</v>
      </c>
      <c r="C19" s="11">
        <v>2500</v>
      </c>
      <c r="D19" s="23">
        <v>45913</v>
      </c>
      <c r="E19" s="10" t="s">
        <v>109</v>
      </c>
      <c r="F19" s="12" t="str">
        <f>VLOOKUP(B19,'Item &amp; Category'!$A$1:$B$256,2,FALSE)</f>
        <v>Mobile &amp; Internet</v>
      </c>
    </row>
    <row r="20" spans="1:6" ht="15.6" thickTop="1" thickBot="1" x14ac:dyDescent="0.35">
      <c r="A20" s="10">
        <v>2025</v>
      </c>
      <c r="B20" s="10" t="s">
        <v>125</v>
      </c>
      <c r="C20" s="11">
        <v>690</v>
      </c>
      <c r="D20" s="23">
        <v>45913</v>
      </c>
      <c r="E20" s="10" t="s">
        <v>109</v>
      </c>
      <c r="F20" s="12" t="str">
        <f>VLOOKUP(B20,'Item &amp; Category'!$A$1:$B$256,2,FALSE)</f>
        <v>Mobile &amp; Internet</v>
      </c>
    </row>
    <row r="21" spans="1:6" ht="15.6" thickTop="1" thickBot="1" x14ac:dyDescent="0.35">
      <c r="A21" s="10">
        <v>2025</v>
      </c>
      <c r="B21" s="10" t="s">
        <v>126</v>
      </c>
      <c r="C21" s="11">
        <v>2456.17</v>
      </c>
      <c r="D21" s="23">
        <v>45913</v>
      </c>
      <c r="E21" s="10" t="s">
        <v>109</v>
      </c>
      <c r="F21" s="12" t="str">
        <f>VLOOKUP(B21,'Item &amp; Category'!$A$1:$B$256,2,FALSE)</f>
        <v>Gift</v>
      </c>
    </row>
    <row r="22" spans="1:6" ht="15.6" thickTop="1" thickBot="1" x14ac:dyDescent="0.35">
      <c r="A22" s="10">
        <v>2025</v>
      </c>
      <c r="B22" s="10" t="s">
        <v>127</v>
      </c>
      <c r="C22" s="11">
        <v>740</v>
      </c>
      <c r="D22" s="23">
        <v>45913</v>
      </c>
      <c r="E22" s="10" t="s">
        <v>109</v>
      </c>
      <c r="F22" s="12" t="str">
        <f>VLOOKUP(B22,'Item &amp; Category'!$A$1:$B$256,2,FALSE)</f>
        <v>Grooming</v>
      </c>
    </row>
    <row r="23" spans="1:6" ht="15.6" thickTop="1" thickBot="1" x14ac:dyDescent="0.35">
      <c r="A23" s="10">
        <v>2025</v>
      </c>
      <c r="B23" s="10" t="s">
        <v>128</v>
      </c>
      <c r="C23" s="11">
        <v>50000</v>
      </c>
      <c r="D23" s="23">
        <v>45916</v>
      </c>
      <c r="E23" s="10" t="s">
        <v>109</v>
      </c>
      <c r="F23" s="12" t="str">
        <f>VLOOKUP(B23,'Item &amp; Category'!$A$1:$B$256,2,FALSE)</f>
        <v>Unexpected</v>
      </c>
    </row>
    <row r="24" spans="1:6" ht="15.6" thickTop="1" thickBot="1" x14ac:dyDescent="0.35">
      <c r="A24" s="10">
        <v>2025</v>
      </c>
      <c r="B24" s="10" t="s">
        <v>129</v>
      </c>
      <c r="C24" s="11">
        <v>15000</v>
      </c>
      <c r="D24" s="23">
        <v>45916</v>
      </c>
      <c r="E24" s="10" t="s">
        <v>109</v>
      </c>
      <c r="F24" s="12" t="str">
        <f>VLOOKUP(B24,'Item &amp; Category'!$A$1:$B$256,2,FALSE)</f>
        <v>Commute</v>
      </c>
    </row>
    <row r="25" spans="1:6" ht="15.6" thickTop="1" thickBot="1" x14ac:dyDescent="0.35">
      <c r="A25" s="10">
        <v>2025</v>
      </c>
      <c r="B25" s="10" t="s">
        <v>130</v>
      </c>
      <c r="C25" s="11">
        <v>14000</v>
      </c>
      <c r="D25" s="23">
        <v>45916</v>
      </c>
      <c r="E25" s="10" t="s">
        <v>109</v>
      </c>
      <c r="F25" s="12" t="str">
        <f>VLOOKUP(B25,'Item &amp; Category'!$A$1:$B$256,2,FALSE)</f>
        <v>Furnishing</v>
      </c>
    </row>
    <row r="26" spans="1:6" ht="15.6" thickTop="1" thickBot="1" x14ac:dyDescent="0.35">
      <c r="A26" s="10">
        <v>2025</v>
      </c>
      <c r="B26" s="10" t="s">
        <v>12</v>
      </c>
      <c r="C26" s="11">
        <v>14000</v>
      </c>
      <c r="D26" s="23">
        <v>45916</v>
      </c>
      <c r="E26" s="10" t="s">
        <v>109</v>
      </c>
      <c r="F26" s="12" t="str">
        <f>VLOOKUP(B26,'Item &amp; Category'!$A$1:$B$256,2,FALSE)</f>
        <v>Insurance</v>
      </c>
    </row>
    <row r="27" spans="1:6" ht="15.6" thickTop="1" thickBot="1" x14ac:dyDescent="0.35">
      <c r="A27" s="10">
        <v>2025</v>
      </c>
      <c r="B27" s="10" t="s">
        <v>131</v>
      </c>
      <c r="C27" s="11">
        <v>14000</v>
      </c>
      <c r="D27" s="23">
        <v>45916</v>
      </c>
      <c r="E27" s="10" t="s">
        <v>109</v>
      </c>
      <c r="F27" s="12" t="str">
        <f>VLOOKUP(B27,'Item &amp; Category'!$A$1:$B$256,2,FALSE)</f>
        <v>Gold</v>
      </c>
    </row>
    <row r="28" spans="1:6" ht="15.6" thickTop="1" thickBot="1" x14ac:dyDescent="0.35">
      <c r="A28" s="10">
        <v>2025</v>
      </c>
      <c r="B28" s="10" t="s">
        <v>132</v>
      </c>
      <c r="C28" s="11">
        <v>27000</v>
      </c>
      <c r="D28" s="23">
        <v>45916</v>
      </c>
      <c r="E28" s="10" t="s">
        <v>109</v>
      </c>
      <c r="F28" s="12" t="str">
        <f>VLOOKUP(B28,'Item &amp; Category'!$A$1:$B$256,2,FALSE)</f>
        <v>Tour</v>
      </c>
    </row>
    <row r="29" spans="1:6" ht="15.6" thickTop="1" thickBot="1" x14ac:dyDescent="0.35">
      <c r="A29" s="10">
        <v>2025</v>
      </c>
      <c r="B29" s="10" t="s">
        <v>133</v>
      </c>
      <c r="C29" s="11">
        <v>500</v>
      </c>
      <c r="D29" s="23">
        <v>45917</v>
      </c>
      <c r="E29" s="10" t="s">
        <v>109</v>
      </c>
      <c r="F29" s="12" t="str">
        <f>VLOOKUP(B29,'Item &amp; Category'!$A$1:$B$256,2,FALSE)</f>
        <v>Utility Bills</v>
      </c>
    </row>
    <row r="30" spans="1:6" ht="15.6" thickTop="1" thickBot="1" x14ac:dyDescent="0.35">
      <c r="A30" s="10">
        <v>2025</v>
      </c>
      <c r="B30" s="10" t="s">
        <v>134</v>
      </c>
      <c r="C30" s="11">
        <v>500</v>
      </c>
      <c r="D30" s="23">
        <v>45917</v>
      </c>
      <c r="E30" s="10" t="s">
        <v>109</v>
      </c>
      <c r="F30" s="12" t="str">
        <f>VLOOKUP(B30,'Item &amp; Category'!$A$1:$B$256,2,FALSE)</f>
        <v>Utility Bills</v>
      </c>
    </row>
    <row r="31" spans="1:6" ht="15.6" thickTop="1" thickBot="1" x14ac:dyDescent="0.35">
      <c r="A31" s="10">
        <v>2025</v>
      </c>
      <c r="B31" s="10" t="s">
        <v>135</v>
      </c>
      <c r="C31" s="11">
        <v>2000</v>
      </c>
      <c r="D31" s="23">
        <v>45917</v>
      </c>
      <c r="E31" s="10" t="s">
        <v>109</v>
      </c>
      <c r="F31" s="12" t="str">
        <f>VLOOKUP(B31,'Item &amp; Category'!$A$1:$B$256,2,FALSE)</f>
        <v>Utility Bills</v>
      </c>
    </row>
    <row r="32" spans="1:6" ht="15.6" thickTop="1" thickBot="1" x14ac:dyDescent="0.35">
      <c r="A32" s="10">
        <v>2025</v>
      </c>
      <c r="B32" s="10" t="s">
        <v>136</v>
      </c>
      <c r="C32" s="11">
        <v>300</v>
      </c>
      <c r="D32" s="23">
        <v>45917</v>
      </c>
      <c r="E32" s="10" t="s">
        <v>109</v>
      </c>
      <c r="F32" s="12" t="str">
        <f>VLOOKUP(B32,'Item &amp; Category'!$A$1:$B$256,2,FALSE)</f>
        <v>Food and Grocery</v>
      </c>
    </row>
    <row r="33" spans="1:6" ht="15.6" thickTop="1" thickBot="1" x14ac:dyDescent="0.35">
      <c r="A33" s="10">
        <v>2025</v>
      </c>
      <c r="B33" s="10" t="s">
        <v>137</v>
      </c>
      <c r="C33" s="11">
        <v>821</v>
      </c>
      <c r="D33" s="23">
        <v>45918</v>
      </c>
      <c r="E33" s="10" t="s">
        <v>109</v>
      </c>
      <c r="F33" s="12" t="str">
        <f>VLOOKUP(B33,'Item &amp; Category'!$A$1:$B$256,2,FALSE)</f>
        <v>Entertainment</v>
      </c>
    </row>
    <row r="34" spans="1:6" ht="15.6" thickTop="1" thickBot="1" x14ac:dyDescent="0.35">
      <c r="A34" s="10">
        <v>2025</v>
      </c>
      <c r="B34" s="10" t="s">
        <v>138</v>
      </c>
      <c r="C34" s="11">
        <v>793</v>
      </c>
      <c r="D34" s="23">
        <v>45918</v>
      </c>
      <c r="E34" s="10" t="s">
        <v>109</v>
      </c>
      <c r="F34" s="12" t="str">
        <f>VLOOKUP(B34,'Item &amp; Category'!$A$1:$B$256,2,FALSE)</f>
        <v>Entertainment</v>
      </c>
    </row>
    <row r="35" spans="1:6" ht="15.6" thickTop="1" thickBot="1" x14ac:dyDescent="0.35">
      <c r="A35" s="10">
        <v>2025</v>
      </c>
      <c r="B35" s="10" t="s">
        <v>139</v>
      </c>
      <c r="C35" s="11">
        <v>200</v>
      </c>
      <c r="D35" s="23">
        <v>45918</v>
      </c>
      <c r="E35" s="10" t="s">
        <v>109</v>
      </c>
      <c r="F35" s="12" t="str">
        <f>VLOOKUP(B35,'Item &amp; Category'!$A$1:$B$256,2,FALSE)</f>
        <v>Entertainment</v>
      </c>
    </row>
    <row r="36" spans="1:6" ht="15.6" thickTop="1" thickBot="1" x14ac:dyDescent="0.35">
      <c r="A36" s="10">
        <v>2025</v>
      </c>
      <c r="B36" s="10" t="s">
        <v>140</v>
      </c>
      <c r="C36" s="11">
        <v>200</v>
      </c>
      <c r="D36" s="23">
        <v>45918</v>
      </c>
      <c r="E36" s="10" t="s">
        <v>109</v>
      </c>
      <c r="F36" s="12" t="str">
        <f>VLOOKUP(B36,'Item &amp; Category'!$A$1:$B$256,2,FALSE)</f>
        <v>Entertainment</v>
      </c>
    </row>
    <row r="37" spans="1:6" ht="15.6" thickTop="1" thickBot="1" x14ac:dyDescent="0.35">
      <c r="A37" s="10">
        <v>2025</v>
      </c>
      <c r="B37" s="10" t="s">
        <v>153</v>
      </c>
      <c r="C37" s="11">
        <v>200</v>
      </c>
      <c r="D37" s="23">
        <v>45919</v>
      </c>
      <c r="E37" s="10" t="s">
        <v>109</v>
      </c>
      <c r="F37" s="12" t="str">
        <f>VLOOKUP(B37,'Item &amp; Category'!$A$1:$B$256,2,FALSE)</f>
        <v>Charges</v>
      </c>
    </row>
    <row r="38" spans="1:6" ht="15.6" thickTop="1" thickBot="1" x14ac:dyDescent="0.35">
      <c r="A38" s="10">
        <v>2025</v>
      </c>
      <c r="B38" s="10" t="s">
        <v>141</v>
      </c>
      <c r="C38" s="11">
        <v>1578.01</v>
      </c>
      <c r="D38" s="23">
        <v>45920</v>
      </c>
      <c r="E38" s="10" t="s">
        <v>109</v>
      </c>
      <c r="F38" s="12" t="str">
        <f>VLOOKUP(B38,'Item &amp; Category'!$A$1:$B$256,2,FALSE)</f>
        <v>Fitness</v>
      </c>
    </row>
    <row r="39" spans="1:6" ht="15.6" thickTop="1" thickBot="1" x14ac:dyDescent="0.35">
      <c r="A39" s="10">
        <v>2025</v>
      </c>
      <c r="B39" s="10" t="s">
        <v>142</v>
      </c>
      <c r="C39" s="11">
        <v>500</v>
      </c>
      <c r="D39" s="23">
        <v>45921</v>
      </c>
      <c r="E39" s="10" t="s">
        <v>109</v>
      </c>
      <c r="F39" s="12" t="str">
        <f>VLOOKUP(B39,'Item &amp; Category'!$A$1:$B$256,2,FALSE)</f>
        <v>Entertainment</v>
      </c>
    </row>
    <row r="40" spans="1:6" ht="15.6" thickTop="1" thickBot="1" x14ac:dyDescent="0.35">
      <c r="A40" s="10">
        <v>2025</v>
      </c>
      <c r="B40" s="10" t="s">
        <v>14</v>
      </c>
      <c r="C40" s="11">
        <v>899</v>
      </c>
      <c r="D40" s="23">
        <v>45921</v>
      </c>
      <c r="E40" s="10" t="s">
        <v>109</v>
      </c>
      <c r="F40" s="12" t="str">
        <f>VLOOKUP(B40,'Item &amp; Category'!$A$1:$B$256,2,FALSE)</f>
        <v>Gadgets</v>
      </c>
    </row>
    <row r="41" spans="1:6" ht="15.6" thickTop="1" thickBot="1" x14ac:dyDescent="0.35">
      <c r="A41" s="10">
        <v>2025</v>
      </c>
      <c r="B41" s="10" t="s">
        <v>143</v>
      </c>
      <c r="C41" s="11">
        <v>50000</v>
      </c>
      <c r="D41" s="23">
        <v>45922</v>
      </c>
      <c r="E41" s="10" t="s">
        <v>109</v>
      </c>
      <c r="F41" s="12" t="str">
        <f>VLOOKUP(B41,'Item &amp; Category'!$A$1:$B$256,2,FALSE)</f>
        <v>Gold</v>
      </c>
    </row>
    <row r="42" spans="1:6" ht="15.6" thickTop="1" thickBot="1" x14ac:dyDescent="0.35">
      <c r="A42" s="10">
        <v>2025</v>
      </c>
      <c r="B42" s="10" t="s">
        <v>111</v>
      </c>
      <c r="C42" s="11">
        <v>50</v>
      </c>
      <c r="D42" s="23">
        <v>45922</v>
      </c>
      <c r="E42" s="10" t="s">
        <v>109</v>
      </c>
      <c r="F42" s="12" t="str">
        <f>VLOOKUP(B42,'Item &amp; Category'!$A$1:$B$256,2,FALSE)</f>
        <v>Food and Grocery</v>
      </c>
    </row>
    <row r="43" spans="1:6" ht="15.6" thickTop="1" thickBot="1" x14ac:dyDescent="0.35">
      <c r="A43" s="10">
        <v>2025</v>
      </c>
      <c r="B43" s="10" t="s">
        <v>145</v>
      </c>
      <c r="C43" s="11">
        <v>200</v>
      </c>
      <c r="D43" s="23">
        <v>45923</v>
      </c>
      <c r="E43" s="10" t="s">
        <v>109</v>
      </c>
      <c r="F43" s="12" t="str">
        <f>VLOOKUP(B43,'Item &amp; Category'!$A$1:$B$256,2,FALSE)</f>
        <v>Food and Grocery</v>
      </c>
    </row>
    <row r="44" spans="1:6" ht="15.6" thickTop="1" thickBot="1" x14ac:dyDescent="0.35">
      <c r="A44" s="10">
        <v>2025</v>
      </c>
      <c r="B44" s="10" t="s">
        <v>144</v>
      </c>
      <c r="C44" s="11">
        <v>50000</v>
      </c>
      <c r="D44" s="23">
        <v>45924</v>
      </c>
      <c r="E44" s="10" t="s">
        <v>109</v>
      </c>
      <c r="F44" s="12" t="str">
        <f>VLOOKUP(B44,'Item &amp; Category'!$A$1:$B$256,2,FALSE)</f>
        <v>Investments</v>
      </c>
    </row>
    <row r="45" spans="1:6" ht="15.6" thickTop="1" thickBot="1" x14ac:dyDescent="0.35">
      <c r="A45" s="10">
        <v>2025</v>
      </c>
      <c r="B45" s="10" t="s">
        <v>146</v>
      </c>
      <c r="C45" s="11">
        <v>500</v>
      </c>
      <c r="D45" s="23">
        <v>45924</v>
      </c>
      <c r="E45" s="10" t="s">
        <v>109</v>
      </c>
      <c r="F45" s="12" t="str">
        <f>VLOOKUP(B45,'Item &amp; Category'!$A$1:$B$256,2,FALSE)</f>
        <v>Food and Grocery</v>
      </c>
    </row>
    <row r="46" spans="1:6" ht="15.6" thickTop="1" thickBot="1" x14ac:dyDescent="0.35">
      <c r="A46" s="10">
        <v>2025</v>
      </c>
      <c r="B46" s="10" t="s">
        <v>147</v>
      </c>
      <c r="C46" s="11">
        <v>299</v>
      </c>
      <c r="D46" s="23">
        <v>45924</v>
      </c>
      <c r="E46" s="10" t="s">
        <v>109</v>
      </c>
      <c r="F46" s="12" t="str">
        <f>VLOOKUP(B46,'Item &amp; Category'!$A$1:$B$256,2,FALSE)</f>
        <v>Entertainment</v>
      </c>
    </row>
    <row r="47" spans="1:6" ht="15.6" thickTop="1" thickBot="1" x14ac:dyDescent="0.35">
      <c r="A47" s="10">
        <v>2025</v>
      </c>
      <c r="B47" s="10" t="s">
        <v>148</v>
      </c>
      <c r="C47" s="11">
        <v>150</v>
      </c>
      <c r="D47" s="23">
        <v>45926</v>
      </c>
      <c r="E47" s="10" t="s">
        <v>109</v>
      </c>
      <c r="F47" s="12" t="str">
        <f>VLOOKUP(B47,'Item &amp; Category'!$A$1:$B$256,2,FALSE)</f>
        <v>Commute</v>
      </c>
    </row>
    <row r="48" spans="1:6" ht="15.6" thickTop="1" thickBot="1" x14ac:dyDescent="0.35">
      <c r="A48" s="10">
        <v>2025</v>
      </c>
      <c r="B48" s="10" t="s">
        <v>149</v>
      </c>
      <c r="C48" s="11">
        <v>300</v>
      </c>
      <c r="D48" s="23">
        <v>45926</v>
      </c>
      <c r="E48" s="10" t="s">
        <v>109</v>
      </c>
      <c r="F48" s="12" t="str">
        <f>VLOOKUP(B48,'Item &amp; Category'!$A$1:$B$256,2,FALSE)</f>
        <v>Utility Bills</v>
      </c>
    </row>
    <row r="49" spans="1:6" ht="15.6" thickTop="1" thickBot="1" x14ac:dyDescent="0.35">
      <c r="A49" s="10">
        <v>2025</v>
      </c>
      <c r="B49" s="10" t="s">
        <v>148</v>
      </c>
      <c r="C49" s="11">
        <v>260</v>
      </c>
      <c r="D49" s="23">
        <v>45926</v>
      </c>
      <c r="E49" s="10" t="s">
        <v>109</v>
      </c>
      <c r="F49" s="12" t="str">
        <f>VLOOKUP(B49,'Item &amp; Category'!$A$1:$B$256,2,FALSE)</f>
        <v>Commute</v>
      </c>
    </row>
    <row r="50" spans="1:6" ht="15.6" thickTop="1" thickBot="1" x14ac:dyDescent="0.35">
      <c r="A50" s="10">
        <v>2025</v>
      </c>
      <c r="B50" s="10" t="s">
        <v>111</v>
      </c>
      <c r="C50" s="11">
        <v>80</v>
      </c>
      <c r="D50" s="23">
        <v>45927</v>
      </c>
      <c r="E50" s="10" t="s">
        <v>109</v>
      </c>
      <c r="F50" s="12" t="str">
        <f>VLOOKUP(B50,'Item &amp; Category'!$A$1:$B$256,2,FALSE)</f>
        <v>Food and Grocery</v>
      </c>
    </row>
    <row r="51" spans="1:6" ht="15.6" thickTop="1" thickBot="1" x14ac:dyDescent="0.35">
      <c r="A51" s="10">
        <v>2025</v>
      </c>
      <c r="B51" s="10" t="s">
        <v>115</v>
      </c>
      <c r="C51" s="11">
        <v>300</v>
      </c>
      <c r="D51" s="23">
        <v>45927</v>
      </c>
      <c r="E51" s="10" t="s">
        <v>109</v>
      </c>
      <c r="F51" s="12" t="str">
        <f>VLOOKUP(B51,'Item &amp; Category'!$A$1:$B$256,2,FALSE)</f>
        <v>Medical</v>
      </c>
    </row>
    <row r="52" spans="1:6" ht="15.6" thickTop="1" thickBot="1" x14ac:dyDescent="0.35">
      <c r="A52" s="10">
        <v>2025</v>
      </c>
      <c r="B52" s="10" t="s">
        <v>150</v>
      </c>
      <c r="C52" s="11">
        <v>300</v>
      </c>
      <c r="D52" s="23">
        <v>45928</v>
      </c>
      <c r="E52" s="10" t="s">
        <v>109</v>
      </c>
      <c r="F52" s="12" t="str">
        <f>VLOOKUP(B52,'Item &amp; Category'!$A$1:$B$256,2,FALSE)</f>
        <v>Activity</v>
      </c>
    </row>
    <row r="53" spans="1:6" ht="15.6" thickTop="1" thickBot="1" x14ac:dyDescent="0.35">
      <c r="A53" s="10">
        <v>2025</v>
      </c>
      <c r="B53" s="10" t="s">
        <v>151</v>
      </c>
      <c r="C53" s="11">
        <v>179.5</v>
      </c>
      <c r="D53" s="23">
        <v>45928</v>
      </c>
      <c r="E53" s="10" t="s">
        <v>109</v>
      </c>
      <c r="F53" s="12" t="str">
        <f>VLOOKUP(B53,'Item &amp; Category'!$A$1:$B$256,2,FALSE)</f>
        <v>Food and Grocery</v>
      </c>
    </row>
    <row r="54" spans="1:6" ht="15.6" thickTop="1" thickBot="1" x14ac:dyDescent="0.35">
      <c r="A54" s="10">
        <v>2025</v>
      </c>
      <c r="B54" s="10" t="s">
        <v>111</v>
      </c>
      <c r="C54" s="11">
        <v>10</v>
      </c>
      <c r="D54" s="23">
        <v>45928</v>
      </c>
      <c r="E54" s="10" t="s">
        <v>109</v>
      </c>
      <c r="F54" s="12" t="str">
        <f>VLOOKUP(B54,'Item &amp; Category'!$A$1:$B$256,2,FALSE)</f>
        <v>Food and Grocery</v>
      </c>
    </row>
    <row r="55" spans="1:6" ht="15.6" thickTop="1" thickBot="1" x14ac:dyDescent="0.35">
      <c r="A55" s="10">
        <v>2025</v>
      </c>
      <c r="B55" s="10" t="s">
        <v>141</v>
      </c>
      <c r="C55" s="11">
        <v>400</v>
      </c>
      <c r="D55" s="23">
        <v>45928</v>
      </c>
      <c r="E55" s="10" t="s">
        <v>109</v>
      </c>
      <c r="F55" s="12" t="str">
        <f>VLOOKUP(B55,'Item &amp; Category'!$A$1:$B$256,2,FALSE)</f>
        <v>Fitness</v>
      </c>
    </row>
    <row r="56" spans="1:6" ht="15.6" thickTop="1" thickBot="1" x14ac:dyDescent="0.35">
      <c r="A56" s="10">
        <v>2025</v>
      </c>
      <c r="B56" s="10" t="s">
        <v>15</v>
      </c>
      <c r="C56" s="11">
        <v>200</v>
      </c>
      <c r="D56" s="23">
        <v>45928</v>
      </c>
      <c r="E56" s="10" t="s">
        <v>109</v>
      </c>
      <c r="F56" s="12" t="str">
        <f>VLOOKUP(B56,'Item &amp; Category'!$A$1:$B$256,2,FALSE)</f>
        <v>Mobile &amp; Internet</v>
      </c>
    </row>
    <row r="57" spans="1:6" ht="15.6" thickTop="1" thickBot="1" x14ac:dyDescent="0.35">
      <c r="A57" s="10">
        <v>2025</v>
      </c>
      <c r="B57" s="10" t="s">
        <v>149</v>
      </c>
      <c r="C57" s="11">
        <v>100</v>
      </c>
      <c r="D57" s="23">
        <v>45929</v>
      </c>
      <c r="E57" s="10" t="s">
        <v>109</v>
      </c>
      <c r="F57" s="12" t="str">
        <f>VLOOKUP(B57,'Item &amp; Category'!$A$1:$B$256,2,FALSE)</f>
        <v>Utility Bills</v>
      </c>
    </row>
    <row r="58" spans="1:6" ht="15.6" thickTop="1" thickBot="1" x14ac:dyDescent="0.35">
      <c r="A58" s="10">
        <v>2025</v>
      </c>
      <c r="B58" s="10" t="s">
        <v>152</v>
      </c>
      <c r="C58" s="11">
        <v>100</v>
      </c>
      <c r="D58" s="23">
        <v>45929</v>
      </c>
      <c r="E58" s="10" t="s">
        <v>109</v>
      </c>
      <c r="F58" s="12" t="str">
        <f>VLOOKUP(B58,'Item &amp; Category'!$A$1:$B$256,2,FALSE)</f>
        <v>Commute</v>
      </c>
    </row>
    <row r="59" spans="1:6" ht="15.6" thickTop="1" thickBot="1" x14ac:dyDescent="0.35">
      <c r="A59" s="10">
        <v>2025</v>
      </c>
      <c r="B59" s="10" t="s">
        <v>12</v>
      </c>
      <c r="C59" s="11">
        <v>58000</v>
      </c>
      <c r="D59" s="23">
        <v>45931</v>
      </c>
      <c r="E59" s="10" t="s">
        <v>159</v>
      </c>
      <c r="F59" s="12" t="str">
        <f>VLOOKUP(B59,'Item &amp; Category'!$A$1:$B$256,2,FALSE)</f>
        <v>Insurance</v>
      </c>
    </row>
    <row r="60" spans="1:6" ht="15.6" thickTop="1" thickBot="1" x14ac:dyDescent="0.35">
      <c r="A60" s="10">
        <v>2025</v>
      </c>
      <c r="B60" s="10" t="s">
        <v>141</v>
      </c>
      <c r="C60" s="11">
        <v>804.68</v>
      </c>
      <c r="D60" s="23">
        <v>45931</v>
      </c>
      <c r="E60" s="10" t="s">
        <v>159</v>
      </c>
      <c r="F60" s="12" t="str">
        <f>VLOOKUP(B60,'Item &amp; Category'!$A$1:$B$256,2,FALSE)</f>
        <v>Fitness</v>
      </c>
    </row>
    <row r="61" spans="1:6" ht="15.6" thickTop="1" thickBot="1" x14ac:dyDescent="0.35">
      <c r="A61" s="10">
        <v>2025</v>
      </c>
      <c r="B61" s="10" t="s">
        <v>148</v>
      </c>
      <c r="C61" s="11">
        <v>150</v>
      </c>
      <c r="D61" s="23">
        <v>45931</v>
      </c>
      <c r="E61" s="10" t="s">
        <v>159</v>
      </c>
      <c r="F61" s="12" t="str">
        <f>VLOOKUP(B61,'Item &amp; Category'!$A$1:$B$256,2,FALSE)</f>
        <v>Commute</v>
      </c>
    </row>
    <row r="62" spans="1:6" ht="15.6" thickTop="1" thickBot="1" x14ac:dyDescent="0.35">
      <c r="A62" s="10">
        <v>2025</v>
      </c>
      <c r="B62" s="10" t="s">
        <v>147</v>
      </c>
      <c r="C62" s="11">
        <v>300</v>
      </c>
      <c r="D62" s="23">
        <v>45931</v>
      </c>
      <c r="E62" s="10" t="s">
        <v>159</v>
      </c>
      <c r="F62" s="12" t="str">
        <f>VLOOKUP(B62,'Item &amp; Category'!$A$1:$B$256,2,FALSE)</f>
        <v>Entertainment</v>
      </c>
    </row>
    <row r="63" spans="1:6" ht="15.6" thickTop="1" thickBot="1" x14ac:dyDescent="0.35">
      <c r="A63" s="10">
        <v>2025</v>
      </c>
      <c r="B63" s="10" t="s">
        <v>149</v>
      </c>
      <c r="C63" s="11">
        <v>5000</v>
      </c>
      <c r="D63" s="23">
        <v>45934</v>
      </c>
      <c r="E63" s="10" t="s">
        <v>159</v>
      </c>
      <c r="F63" s="12" t="str">
        <f>VLOOKUP(B63,'Item &amp; Category'!$A$1:$B$256,2,FALSE)</f>
        <v>Utility Bills</v>
      </c>
    </row>
    <row r="64" spans="1:6" ht="15.6" thickTop="1" thickBot="1" x14ac:dyDescent="0.35">
      <c r="A64" s="10">
        <v>2025</v>
      </c>
      <c r="B64" s="10" t="s">
        <v>115</v>
      </c>
      <c r="C64" s="11">
        <v>5200</v>
      </c>
      <c r="D64" s="23">
        <v>45936</v>
      </c>
      <c r="E64" s="10" t="s">
        <v>159</v>
      </c>
      <c r="F64" s="12" t="str">
        <f>VLOOKUP(B64,'Item &amp; Category'!$A$1:$B$256,2,FALSE)</f>
        <v>Medical</v>
      </c>
    </row>
    <row r="65" spans="1:6" ht="15.6" thickTop="1" thickBot="1" x14ac:dyDescent="0.35">
      <c r="A65" s="10">
        <v>2025</v>
      </c>
      <c r="B65" s="10" t="s">
        <v>131</v>
      </c>
      <c r="C65" s="11">
        <v>14000</v>
      </c>
      <c r="D65" s="23">
        <v>45937</v>
      </c>
      <c r="E65" s="10" t="s">
        <v>159</v>
      </c>
      <c r="F65" s="12" t="str">
        <f>VLOOKUP(B65,'Item &amp; Category'!$A$1:$B$256,2,FALSE)</f>
        <v>Gold</v>
      </c>
    </row>
    <row r="66" spans="1:6" ht="15.6" thickTop="1" thickBot="1" x14ac:dyDescent="0.35">
      <c r="A66" s="10">
        <v>2025</v>
      </c>
      <c r="B66" s="10" t="s">
        <v>111</v>
      </c>
      <c r="C66" s="11">
        <v>50</v>
      </c>
      <c r="D66" s="23">
        <v>45943</v>
      </c>
      <c r="E66" s="10" t="s">
        <v>159</v>
      </c>
      <c r="F66" s="12" t="str">
        <f>VLOOKUP(B66,'Item &amp; Category'!$A$1:$B$256,2,FALSE)</f>
        <v>Food and Grocery</v>
      </c>
    </row>
    <row r="67" spans="1:6" ht="15.6" thickTop="1" thickBot="1" x14ac:dyDescent="0.35">
      <c r="A67" s="10">
        <v>2025</v>
      </c>
      <c r="B67" s="10" t="s">
        <v>160</v>
      </c>
      <c r="C67" s="11">
        <v>2500</v>
      </c>
      <c r="D67" s="23">
        <v>45943</v>
      </c>
      <c r="E67" s="10" t="s">
        <v>159</v>
      </c>
      <c r="F67" s="12" t="str">
        <f>VLOOKUP(B67,'Item &amp; Category'!$A$1:$B$256,2,FALSE)</f>
        <v>Clothing</v>
      </c>
    </row>
    <row r="68" spans="1:6" ht="15.6" thickTop="1" thickBot="1" x14ac:dyDescent="0.35">
      <c r="A68" s="10">
        <v>2025</v>
      </c>
      <c r="B68" s="10" t="s">
        <v>161</v>
      </c>
      <c r="C68" s="11">
        <v>18449.59</v>
      </c>
      <c r="D68" s="23">
        <v>45944</v>
      </c>
      <c r="E68" s="10" t="s">
        <v>159</v>
      </c>
      <c r="F68" s="12" t="str">
        <f>VLOOKUP(B68,'Item &amp; Category'!$A$1:$B$256,2,FALSE)</f>
        <v>Investments</v>
      </c>
    </row>
    <row r="69" spans="1:6" ht="15.6" thickTop="1" thickBot="1" x14ac:dyDescent="0.35">
      <c r="A69" s="10">
        <v>2025</v>
      </c>
      <c r="B69" s="10" t="s">
        <v>121</v>
      </c>
      <c r="C69" s="11">
        <v>20000</v>
      </c>
      <c r="D69" s="23">
        <v>45944</v>
      </c>
      <c r="E69" s="10" t="s">
        <v>159</v>
      </c>
      <c r="F69" s="12" t="str">
        <f>VLOOKUP(B69,'Item &amp; Category'!$A$1:$B$256,2,FALSE)</f>
        <v>Investments</v>
      </c>
    </row>
    <row r="70" spans="1:6" ht="15.6" thickTop="1" thickBot="1" x14ac:dyDescent="0.35">
      <c r="A70" s="10">
        <v>2025</v>
      </c>
      <c r="B70" s="10" t="s">
        <v>114</v>
      </c>
      <c r="C70" s="11">
        <v>7200</v>
      </c>
      <c r="D70" s="23">
        <v>45944</v>
      </c>
      <c r="E70" s="10" t="s">
        <v>159</v>
      </c>
      <c r="F70" s="12" t="str">
        <f>VLOOKUP(B70,'Item &amp; Category'!$A$1:$B$256,2,FALSE)</f>
        <v>Investments</v>
      </c>
    </row>
    <row r="71" spans="1:6" ht="15.6" thickTop="1" thickBot="1" x14ac:dyDescent="0.35">
      <c r="A71" s="10">
        <v>2025</v>
      </c>
      <c r="B71" s="10" t="s">
        <v>132</v>
      </c>
      <c r="C71" s="11">
        <v>12800</v>
      </c>
      <c r="D71" s="23">
        <v>45944</v>
      </c>
      <c r="E71" s="10" t="s">
        <v>159</v>
      </c>
      <c r="F71" s="12" t="str">
        <f>VLOOKUP(B71,'Item &amp; Category'!$A$1:$B$256,2,FALSE)</f>
        <v>Tour</v>
      </c>
    </row>
    <row r="72" spans="1:6" ht="15.6" thickTop="1" thickBot="1" x14ac:dyDescent="0.35">
      <c r="A72" s="10">
        <v>2025</v>
      </c>
      <c r="B72" s="10" t="s">
        <v>126</v>
      </c>
      <c r="C72" s="11">
        <v>4500</v>
      </c>
      <c r="D72" s="23">
        <v>45944</v>
      </c>
      <c r="E72" s="10" t="s">
        <v>159</v>
      </c>
      <c r="F72" s="12" t="str">
        <f>VLOOKUP(B72,'Item &amp; Category'!$A$1:$B$256,2,FALSE)</f>
        <v>Gift</v>
      </c>
    </row>
    <row r="73" spans="1:6" ht="15.6" thickTop="1" thickBot="1" x14ac:dyDescent="0.35">
      <c r="A73" s="10">
        <v>2025</v>
      </c>
      <c r="B73" s="10" t="s">
        <v>126</v>
      </c>
      <c r="C73" s="11">
        <v>4500</v>
      </c>
      <c r="D73" s="23">
        <v>45944</v>
      </c>
      <c r="E73" s="10" t="s">
        <v>159</v>
      </c>
      <c r="F73" s="12" t="str">
        <f>VLOOKUP(B73,'Item &amp; Category'!$A$1:$B$256,2,FALSE)</f>
        <v>Gift</v>
      </c>
    </row>
    <row r="74" spans="1:6" ht="15.6" thickTop="1" thickBot="1" x14ac:dyDescent="0.35">
      <c r="A74" s="10">
        <v>2025</v>
      </c>
      <c r="B74" s="10" t="s">
        <v>144</v>
      </c>
      <c r="C74" s="11">
        <v>6500</v>
      </c>
      <c r="D74" s="23">
        <v>45944</v>
      </c>
      <c r="E74" s="10" t="s">
        <v>159</v>
      </c>
      <c r="F74" s="12" t="str">
        <f>VLOOKUP(B74,'Item &amp; Category'!$A$1:$B$256,2,FALSE)</f>
        <v>Investments</v>
      </c>
    </row>
    <row r="75" spans="1:6" ht="15.6" thickTop="1" thickBot="1" x14ac:dyDescent="0.35">
      <c r="A75" s="10">
        <v>2025</v>
      </c>
      <c r="B75" s="10" t="s">
        <v>143</v>
      </c>
      <c r="C75" s="11">
        <v>7556.2493611357604</v>
      </c>
      <c r="D75" s="23">
        <v>45944</v>
      </c>
      <c r="E75" s="10" t="s">
        <v>159</v>
      </c>
      <c r="F75" s="12" t="str">
        <f>VLOOKUP(B75,'Item &amp; Category'!$A$1:$B$256,2,FALSE)</f>
        <v>Gold</v>
      </c>
    </row>
    <row r="76" spans="1:6" ht="15.6" thickTop="1" thickBot="1" x14ac:dyDescent="0.35">
      <c r="A76" s="10">
        <v>2025</v>
      </c>
      <c r="B76" s="10" t="s">
        <v>162</v>
      </c>
      <c r="C76" s="11">
        <v>6500</v>
      </c>
      <c r="D76" s="23">
        <v>45944</v>
      </c>
      <c r="E76" s="10" t="s">
        <v>159</v>
      </c>
      <c r="F76" s="12" t="str">
        <f>VLOOKUP(B76,'Item &amp; Category'!$A$1:$B$256,2,FALSE)</f>
        <v>Tour</v>
      </c>
    </row>
    <row r="77" spans="1:6" ht="15.6" thickTop="1" thickBot="1" x14ac:dyDescent="0.35">
      <c r="A77" s="10">
        <v>2025</v>
      </c>
      <c r="B77" s="10" t="s">
        <v>133</v>
      </c>
      <c r="C77" s="11">
        <v>13500</v>
      </c>
      <c r="D77" s="23">
        <v>45944</v>
      </c>
      <c r="E77" s="10" t="s">
        <v>159</v>
      </c>
      <c r="F77" s="12" t="str">
        <f>VLOOKUP(B77,'Item &amp; Category'!$A$1:$B$256,2,FALSE)</f>
        <v>Utility Bills</v>
      </c>
    </row>
    <row r="78" spans="1:6" ht="15.6" thickTop="1" thickBot="1" x14ac:dyDescent="0.35">
      <c r="A78" s="10">
        <v>2025</v>
      </c>
      <c r="B78" s="10" t="s">
        <v>134</v>
      </c>
      <c r="C78" s="11">
        <v>13000</v>
      </c>
      <c r="D78" s="23">
        <v>45944</v>
      </c>
      <c r="E78" s="10" t="s">
        <v>159</v>
      </c>
      <c r="F78" s="12" t="str">
        <f>VLOOKUP(B78,'Item &amp; Category'!$A$1:$B$256,2,FALSE)</f>
        <v>Utility Bills</v>
      </c>
    </row>
    <row r="79" spans="1:6" ht="15.6" thickTop="1" thickBot="1" x14ac:dyDescent="0.35">
      <c r="A79" s="10">
        <v>2025</v>
      </c>
      <c r="B79" s="10" t="s">
        <v>122</v>
      </c>
      <c r="C79" s="11">
        <v>7000</v>
      </c>
      <c r="D79" s="23">
        <v>45944</v>
      </c>
      <c r="E79" s="10" t="s">
        <v>159</v>
      </c>
      <c r="F79" s="12" t="str">
        <f>VLOOKUP(B79,'Item &amp; Category'!$A$1:$B$256,2,FALSE)</f>
        <v>Household</v>
      </c>
    </row>
    <row r="80" spans="1:6" ht="15.6" thickTop="1" thickBot="1" x14ac:dyDescent="0.35">
      <c r="A80" s="10">
        <v>2025</v>
      </c>
      <c r="B80" s="10" t="s">
        <v>148</v>
      </c>
      <c r="C80" s="11">
        <v>538.91999999999996</v>
      </c>
      <c r="D80" s="23">
        <v>45945</v>
      </c>
      <c r="E80" s="10" t="s">
        <v>159</v>
      </c>
      <c r="F80" s="12" t="str">
        <f>VLOOKUP(B80,'Item &amp; Category'!$A$1:$B$256,2,FALSE)</f>
        <v>Commute</v>
      </c>
    </row>
    <row r="81" spans="1:6" ht="15.6" thickTop="1" thickBot="1" x14ac:dyDescent="0.35">
      <c r="A81" s="10">
        <v>2025</v>
      </c>
      <c r="B81" s="10" t="s">
        <v>127</v>
      </c>
      <c r="C81" s="11">
        <v>259</v>
      </c>
      <c r="D81" s="23">
        <v>45946</v>
      </c>
      <c r="E81" s="10" t="s">
        <v>159</v>
      </c>
      <c r="F81" s="12" t="str">
        <f>VLOOKUP(B81,'Item &amp; Category'!$A$1:$B$256,2,FALSE)</f>
        <v>Grooming</v>
      </c>
    </row>
    <row r="82" spans="1:6" ht="15.6" thickTop="1" thickBot="1" x14ac:dyDescent="0.35">
      <c r="A82" s="10">
        <v>2025</v>
      </c>
      <c r="B82" s="10" t="s">
        <v>116</v>
      </c>
      <c r="C82" s="11">
        <v>1470.4</v>
      </c>
      <c r="D82" s="23">
        <v>45946</v>
      </c>
      <c r="E82" s="10" t="s">
        <v>159</v>
      </c>
      <c r="F82" s="12" t="str">
        <f>VLOOKUP(B82,'Item &amp; Category'!$A$1:$B$256,2,FALSE)</f>
        <v>Grooming</v>
      </c>
    </row>
    <row r="83" spans="1:6" ht="15.6" thickTop="1" thickBot="1" x14ac:dyDescent="0.35">
      <c r="A83" s="10">
        <v>2025</v>
      </c>
      <c r="B83" s="10" t="s">
        <v>163</v>
      </c>
      <c r="C83" s="11">
        <v>850</v>
      </c>
      <c r="D83" s="23">
        <v>45946</v>
      </c>
      <c r="E83" s="10" t="s">
        <v>159</v>
      </c>
      <c r="F83" s="12" t="str">
        <f>VLOOKUP(B83,'Item &amp; Category'!$A$1:$B$256,2,FALSE)</f>
        <v>Mobile &amp; Internet</v>
      </c>
    </row>
    <row r="84" spans="1:6" ht="15.6" thickTop="1" thickBot="1" x14ac:dyDescent="0.35">
      <c r="A84" s="10">
        <v>2025</v>
      </c>
      <c r="B84" s="10" t="s">
        <v>164</v>
      </c>
      <c r="C84" s="11">
        <v>696</v>
      </c>
      <c r="D84" s="23">
        <v>45946</v>
      </c>
      <c r="E84" s="10" t="s">
        <v>159</v>
      </c>
      <c r="F84" s="12" t="str">
        <f>VLOOKUP(B84,'Item &amp; Category'!$A$1:$B$256,2,FALSE)</f>
        <v>Mobile &amp; Internet</v>
      </c>
    </row>
    <row r="85" spans="1:6" ht="15.6" thickTop="1" thickBot="1" x14ac:dyDescent="0.35">
      <c r="A85" s="10">
        <v>2025</v>
      </c>
      <c r="B85" s="10" t="s">
        <v>164</v>
      </c>
      <c r="C85" s="11">
        <v>500</v>
      </c>
      <c r="D85" s="23">
        <v>45947</v>
      </c>
      <c r="E85" s="10" t="s">
        <v>159</v>
      </c>
      <c r="F85" s="12" t="str">
        <f>VLOOKUP(B85,'Item &amp; Category'!$A$1:$B$256,2,FALSE)</f>
        <v>Mobile &amp; Internet</v>
      </c>
    </row>
    <row r="86" spans="1:6" ht="15.6" thickTop="1" thickBot="1" x14ac:dyDescent="0.35">
      <c r="A86" s="10">
        <v>2025</v>
      </c>
      <c r="B86" s="10" t="s">
        <v>125</v>
      </c>
      <c r="C86" s="11">
        <v>200</v>
      </c>
      <c r="D86" s="23">
        <v>45947</v>
      </c>
      <c r="E86" s="10" t="s">
        <v>159</v>
      </c>
      <c r="F86" s="12" t="str">
        <f>VLOOKUP(B86,'Item &amp; Category'!$A$1:$B$256,2,FALSE)</f>
        <v>Mobile &amp; Internet</v>
      </c>
    </row>
    <row r="87" spans="1:6" ht="15.6" thickTop="1" thickBot="1" x14ac:dyDescent="0.35">
      <c r="A87" s="10">
        <v>2025</v>
      </c>
      <c r="B87" s="10" t="s">
        <v>152</v>
      </c>
      <c r="C87" s="11">
        <v>160</v>
      </c>
      <c r="D87" s="23">
        <v>45948</v>
      </c>
      <c r="E87" s="10" t="s">
        <v>159</v>
      </c>
      <c r="F87" s="12" t="str">
        <f>VLOOKUP(B87,'Item &amp; Category'!$A$1:$B$256,2,FALSE)</f>
        <v>Commute</v>
      </c>
    </row>
    <row r="88" spans="1:6" ht="15.6" thickTop="1" thickBot="1" x14ac:dyDescent="0.35">
      <c r="A88" s="10">
        <v>2025</v>
      </c>
      <c r="B88" s="10" t="s">
        <v>140</v>
      </c>
      <c r="C88" s="11">
        <v>1440</v>
      </c>
      <c r="D88" s="23">
        <v>45948</v>
      </c>
      <c r="E88" s="10" t="s">
        <v>159</v>
      </c>
      <c r="F88" s="12" t="str">
        <f>VLOOKUP(B88,'Item &amp; Category'!$A$1:$B$256,2,FALSE)</f>
        <v>Entertainment</v>
      </c>
    </row>
    <row r="89" spans="1:6" ht="15.6" thickTop="1" thickBot="1" x14ac:dyDescent="0.35">
      <c r="A89" s="10">
        <v>2025</v>
      </c>
      <c r="B89" s="10" t="s">
        <v>165</v>
      </c>
      <c r="C89" s="11">
        <v>11500</v>
      </c>
      <c r="D89" s="23">
        <v>45949</v>
      </c>
      <c r="E89" s="10" t="s">
        <v>159</v>
      </c>
      <c r="F89" s="12" t="str">
        <f>VLOOKUP(B89,'Item &amp; Category'!$A$1:$B$256,2,FALSE)</f>
        <v>House Rent</v>
      </c>
    </row>
    <row r="90" spans="1:6" ht="15.6" thickTop="1" thickBot="1" x14ac:dyDescent="0.35">
      <c r="A90" s="10">
        <v>2025</v>
      </c>
      <c r="B90" s="10" t="s">
        <v>152</v>
      </c>
      <c r="C90" s="11">
        <v>885</v>
      </c>
      <c r="D90" s="23">
        <v>45949</v>
      </c>
      <c r="E90" s="10" t="s">
        <v>159</v>
      </c>
      <c r="F90" s="12" t="str">
        <f>VLOOKUP(B90,'Item &amp; Category'!$A$1:$B$256,2,FALSE)</f>
        <v>Commute</v>
      </c>
    </row>
    <row r="91" spans="1:6" ht="15.6" thickTop="1" thickBot="1" x14ac:dyDescent="0.35">
      <c r="A91" s="10">
        <v>2025</v>
      </c>
      <c r="B91" s="10" t="s">
        <v>110</v>
      </c>
      <c r="C91" s="11">
        <v>7945.54</v>
      </c>
      <c r="D91" s="23">
        <v>45950</v>
      </c>
      <c r="E91" s="10" t="s">
        <v>159</v>
      </c>
      <c r="F91" s="12" t="str">
        <f>VLOOKUP(B91,'Item &amp; Category'!$A$1:$B$256,2,FALSE)</f>
        <v>Cash Withdrawal</v>
      </c>
    </row>
    <row r="92" spans="1:6" ht="15.6" thickTop="1" thickBot="1" x14ac:dyDescent="0.35">
      <c r="A92" s="10">
        <v>2025</v>
      </c>
      <c r="B92" s="10" t="s">
        <v>111</v>
      </c>
      <c r="C92" s="11">
        <v>26.17</v>
      </c>
      <c r="D92" s="23">
        <v>45950</v>
      </c>
      <c r="E92" s="10" t="s">
        <v>159</v>
      </c>
      <c r="F92" s="12" t="str">
        <f>VLOOKUP(B92,'Item &amp; Category'!$A$1:$B$256,2,FALSE)</f>
        <v>Food and Grocery</v>
      </c>
    </row>
    <row r="93" spans="1:6" ht="15.6" thickTop="1" thickBot="1" x14ac:dyDescent="0.35">
      <c r="A93" s="10">
        <v>2025</v>
      </c>
      <c r="B93" s="10" t="s">
        <v>166</v>
      </c>
      <c r="C93" s="11">
        <v>400</v>
      </c>
      <c r="D93" s="23">
        <v>45950</v>
      </c>
      <c r="E93" s="10" t="s">
        <v>159</v>
      </c>
      <c r="F93" s="12" t="str">
        <f>VLOOKUP(B93,'Item &amp; Category'!$A$1:$B$256,2,FALSE)</f>
        <v>Food and Grocery</v>
      </c>
    </row>
    <row r="94" spans="1:6" ht="15.6" thickTop="1" thickBot="1" x14ac:dyDescent="0.35">
      <c r="A94" s="10">
        <v>2025</v>
      </c>
      <c r="B94" s="10" t="s">
        <v>166</v>
      </c>
      <c r="C94" s="11">
        <v>20.059999999999999</v>
      </c>
      <c r="D94" s="23">
        <v>45951</v>
      </c>
      <c r="E94" s="10" t="s">
        <v>159</v>
      </c>
      <c r="F94" s="12" t="str">
        <f>VLOOKUP(B94,'Item &amp; Category'!$A$1:$B$256,2,FALSE)</f>
        <v>Food and Grocery</v>
      </c>
    </row>
    <row r="95" spans="1:6" ht="15.6" thickTop="1" thickBot="1" x14ac:dyDescent="0.35">
      <c r="A95" s="10">
        <v>2025</v>
      </c>
      <c r="B95" s="10" t="s">
        <v>147</v>
      </c>
      <c r="C95" s="11">
        <v>2000</v>
      </c>
      <c r="D95" s="23">
        <v>45951</v>
      </c>
      <c r="E95" s="10" t="s">
        <v>159</v>
      </c>
      <c r="F95" s="12" t="str">
        <f>VLOOKUP(B95,'Item &amp; Category'!$A$1:$B$256,2,FALSE)</f>
        <v>Entertainment</v>
      </c>
    </row>
    <row r="96" spans="1:6" ht="15.6" thickTop="1" thickBot="1" x14ac:dyDescent="0.35">
      <c r="A96" s="10">
        <v>2025</v>
      </c>
      <c r="B96" s="10" t="s">
        <v>129</v>
      </c>
      <c r="C96" s="11">
        <v>6582.54</v>
      </c>
      <c r="D96" s="23">
        <v>45952</v>
      </c>
      <c r="E96" s="10" t="s">
        <v>159</v>
      </c>
      <c r="F96" s="12" t="str">
        <f>VLOOKUP(B96,'Item &amp; Category'!$A$1:$B$256,2,FALSE)</f>
        <v>Commute</v>
      </c>
    </row>
    <row r="97" spans="1:6" ht="15.6" thickTop="1" thickBot="1" x14ac:dyDescent="0.35">
      <c r="A97" s="10">
        <v>2025</v>
      </c>
      <c r="B97" s="10" t="s">
        <v>142</v>
      </c>
      <c r="C97" s="11">
        <v>600</v>
      </c>
      <c r="D97" s="23">
        <v>45952</v>
      </c>
      <c r="E97" s="10" t="s">
        <v>159</v>
      </c>
      <c r="F97" s="12" t="str">
        <f>VLOOKUP(B97,'Item &amp; Category'!$A$1:$B$256,2,FALSE)</f>
        <v>Entertainment</v>
      </c>
    </row>
    <row r="98" spans="1:6" ht="15.6" thickTop="1" thickBot="1" x14ac:dyDescent="0.35">
      <c r="A98" s="10">
        <v>2025</v>
      </c>
      <c r="B98" s="10" t="s">
        <v>141</v>
      </c>
      <c r="C98" s="11">
        <v>244.16</v>
      </c>
      <c r="D98" s="23">
        <v>45952</v>
      </c>
      <c r="E98" s="10" t="s">
        <v>159</v>
      </c>
      <c r="F98" s="12" t="str">
        <f>VLOOKUP(B98,'Item &amp; Category'!$A$1:$B$256,2,FALSE)</f>
        <v>Fitness</v>
      </c>
    </row>
    <row r="99" spans="1:6" ht="15.6" thickTop="1" thickBot="1" x14ac:dyDescent="0.35">
      <c r="A99" s="10">
        <v>2025</v>
      </c>
      <c r="B99" s="10" t="s">
        <v>131</v>
      </c>
      <c r="C99" s="11" t="s">
        <v>158</v>
      </c>
      <c r="D99" s="23">
        <v>45952</v>
      </c>
      <c r="E99" s="10" t="s">
        <v>159</v>
      </c>
      <c r="F99" s="12" t="str">
        <f>VLOOKUP(B99,'Item &amp; Category'!$A$1:$B$256,2,FALSE)</f>
        <v>Gold</v>
      </c>
    </row>
    <row r="100" spans="1:6" ht="15.6" thickTop="1" thickBot="1" x14ac:dyDescent="0.35">
      <c r="A100" s="10">
        <v>2025</v>
      </c>
      <c r="B100" s="10" t="s">
        <v>36</v>
      </c>
      <c r="C100" s="11">
        <v>10500</v>
      </c>
      <c r="D100" s="23">
        <v>45952</v>
      </c>
      <c r="E100" s="10" t="s">
        <v>159</v>
      </c>
      <c r="F100" s="12" t="str">
        <f>VLOOKUP(B100,'Item &amp; Category'!$A$1:$B$256,2,FALSE)</f>
        <v>Food and Grocery</v>
      </c>
    </row>
    <row r="101" spans="1:6" ht="15.6" thickTop="1" thickBot="1" x14ac:dyDescent="0.35">
      <c r="A101" s="10">
        <v>2025</v>
      </c>
      <c r="B101" s="10" t="s">
        <v>111</v>
      </c>
      <c r="C101" s="11">
        <v>194.16</v>
      </c>
      <c r="D101" s="23">
        <v>45952</v>
      </c>
      <c r="E101" s="10" t="s">
        <v>159</v>
      </c>
      <c r="F101" s="12" t="str">
        <f>VLOOKUP(B101,'Item &amp; Category'!$A$1:$B$256,2,FALSE)</f>
        <v>Food and Grocery</v>
      </c>
    </row>
    <row r="102" spans="1:6" ht="15.6" thickTop="1" thickBot="1" x14ac:dyDescent="0.35">
      <c r="A102" s="10">
        <v>2025</v>
      </c>
      <c r="B102" s="10" t="s">
        <v>137</v>
      </c>
      <c r="C102" s="11">
        <v>3000</v>
      </c>
      <c r="D102" s="23">
        <v>45953</v>
      </c>
      <c r="E102" s="10" t="s">
        <v>159</v>
      </c>
      <c r="F102" s="12" t="str">
        <f>VLOOKUP(B102,'Item &amp; Category'!$A$1:$B$256,2,FALSE)</f>
        <v>Entertainment</v>
      </c>
    </row>
    <row r="103" spans="1:6" ht="15.6" thickTop="1" thickBot="1" x14ac:dyDescent="0.35">
      <c r="A103" s="10">
        <v>2025</v>
      </c>
      <c r="B103" s="10" t="s">
        <v>167</v>
      </c>
      <c r="C103" s="11">
        <v>3495</v>
      </c>
      <c r="D103" s="23">
        <v>45953</v>
      </c>
      <c r="E103" s="10" t="s">
        <v>159</v>
      </c>
      <c r="F103" s="12" t="str">
        <f>VLOOKUP(B103,'Item &amp; Category'!$A$1:$B$256,2,FALSE)</f>
        <v>Food and Grocery</v>
      </c>
    </row>
    <row r="104" spans="1:6" ht="15.6" thickTop="1" thickBot="1" x14ac:dyDescent="0.35">
      <c r="A104" s="10">
        <v>2025</v>
      </c>
      <c r="B104" s="10" t="s">
        <v>148</v>
      </c>
      <c r="C104" s="11">
        <v>20</v>
      </c>
      <c r="D104" s="23">
        <v>45953</v>
      </c>
      <c r="E104" s="10" t="s">
        <v>159</v>
      </c>
      <c r="F104" s="12" t="str">
        <f>VLOOKUP(B104,'Item &amp; Category'!$A$1:$B$256,2,FALSE)</f>
        <v>Commute</v>
      </c>
    </row>
    <row r="105" spans="1:6" ht="15.6" thickTop="1" thickBot="1" x14ac:dyDescent="0.35">
      <c r="A105" s="10">
        <v>2025</v>
      </c>
      <c r="B105" s="10" t="s">
        <v>148</v>
      </c>
      <c r="C105" s="11">
        <v>20</v>
      </c>
      <c r="D105" s="23">
        <v>45953</v>
      </c>
      <c r="E105" s="10" t="s">
        <v>159</v>
      </c>
      <c r="F105" s="12" t="str">
        <f>VLOOKUP(B105,'Item &amp; Category'!$A$1:$B$256,2,FALSE)</f>
        <v>Commute</v>
      </c>
    </row>
    <row r="106" spans="1:6" ht="15.6" thickTop="1" thickBot="1" x14ac:dyDescent="0.35">
      <c r="A106" s="10">
        <v>2025</v>
      </c>
      <c r="B106" s="10" t="s">
        <v>165</v>
      </c>
      <c r="C106" s="11">
        <v>30000</v>
      </c>
      <c r="D106" s="23">
        <v>45954</v>
      </c>
      <c r="E106" s="10" t="s">
        <v>159</v>
      </c>
      <c r="F106" s="12" t="str">
        <f>VLOOKUP(B106,'Item &amp; Category'!$A$1:$B$256,2,FALSE)</f>
        <v>House Rent</v>
      </c>
    </row>
    <row r="107" spans="1:6" ht="15.6" thickTop="1" thickBot="1" x14ac:dyDescent="0.35">
      <c r="A107" s="10">
        <v>2025</v>
      </c>
      <c r="B107" s="10" t="s">
        <v>38</v>
      </c>
      <c r="C107" s="11">
        <v>1400</v>
      </c>
      <c r="D107" s="23">
        <v>45954</v>
      </c>
      <c r="E107" s="10" t="s">
        <v>159</v>
      </c>
      <c r="F107" s="12" t="str">
        <f>VLOOKUP(B107,'Item &amp; Category'!$A$1:$B$256,2,FALSE)</f>
        <v>Food and Grocery</v>
      </c>
    </row>
    <row r="108" spans="1:6" ht="15.6" thickTop="1" thickBot="1" x14ac:dyDescent="0.35">
      <c r="A108" s="10">
        <v>2025</v>
      </c>
      <c r="B108" s="10" t="s">
        <v>149</v>
      </c>
      <c r="C108" s="11">
        <v>661</v>
      </c>
      <c r="D108" s="23">
        <v>45955</v>
      </c>
      <c r="E108" s="10" t="s">
        <v>159</v>
      </c>
      <c r="F108" s="12" t="str">
        <f>VLOOKUP(B108,'Item &amp; Category'!$A$1:$B$256,2,FALSE)</f>
        <v>Utility Bills</v>
      </c>
    </row>
    <row r="109" spans="1:6" ht="15.6" thickTop="1" thickBot="1" x14ac:dyDescent="0.35">
      <c r="A109" s="10">
        <v>2025</v>
      </c>
      <c r="B109" s="10" t="s">
        <v>148</v>
      </c>
      <c r="C109" s="11">
        <v>1000</v>
      </c>
      <c r="D109" s="23">
        <v>45955</v>
      </c>
      <c r="E109" s="10" t="s">
        <v>159</v>
      </c>
      <c r="F109" s="12" t="str">
        <f>VLOOKUP(B109,'Item &amp; Category'!$A$1:$B$256,2,FALSE)</f>
        <v>Commute</v>
      </c>
    </row>
    <row r="110" spans="1:6" ht="15.6" thickTop="1" thickBot="1" x14ac:dyDescent="0.35">
      <c r="A110" s="10">
        <v>2025</v>
      </c>
      <c r="B110" s="10" t="s">
        <v>111</v>
      </c>
      <c r="C110" s="11">
        <v>1000</v>
      </c>
      <c r="D110" s="23">
        <v>45955</v>
      </c>
      <c r="E110" s="10" t="s">
        <v>159</v>
      </c>
      <c r="F110" s="12" t="str">
        <f>VLOOKUP(B110,'Item &amp; Category'!$A$1:$B$256,2,FALSE)</f>
        <v>Food and Grocery</v>
      </c>
    </row>
    <row r="111" spans="1:6" ht="15.6" thickTop="1" thickBot="1" x14ac:dyDescent="0.35">
      <c r="A111" s="10">
        <v>2025</v>
      </c>
      <c r="B111" s="10" t="s">
        <v>115</v>
      </c>
      <c r="C111" s="11">
        <v>1500</v>
      </c>
      <c r="D111" s="23">
        <v>45955</v>
      </c>
      <c r="E111" s="10" t="s">
        <v>159</v>
      </c>
      <c r="F111" s="12" t="str">
        <f>VLOOKUP(B111,'Item &amp; Category'!$A$1:$B$256,2,FALSE)</f>
        <v>Medical</v>
      </c>
    </row>
    <row r="112" spans="1:6" ht="15.6" thickTop="1" thickBot="1" x14ac:dyDescent="0.35">
      <c r="A112" s="10">
        <v>2025</v>
      </c>
      <c r="B112" s="10" t="s">
        <v>150</v>
      </c>
      <c r="C112" s="11">
        <v>150</v>
      </c>
      <c r="D112" s="23">
        <v>45957</v>
      </c>
      <c r="E112" s="10" t="s">
        <v>159</v>
      </c>
      <c r="F112" s="12" t="str">
        <f>VLOOKUP(B112,'Item &amp; Category'!$A$1:$B$256,2,FALSE)</f>
        <v>Activity</v>
      </c>
    </row>
    <row r="113" spans="1:6" ht="15.6" thickTop="1" thickBot="1" x14ac:dyDescent="0.35">
      <c r="A113" s="10">
        <v>2025</v>
      </c>
      <c r="B113" s="10" t="s">
        <v>151</v>
      </c>
      <c r="C113" s="11">
        <v>1500</v>
      </c>
      <c r="D113" s="23">
        <v>45957</v>
      </c>
      <c r="E113" s="10" t="s">
        <v>159</v>
      </c>
      <c r="F113" s="12" t="str">
        <f>VLOOKUP(B113,'Item &amp; Category'!$A$1:$B$256,2,FALSE)</f>
        <v>Food and Grocery</v>
      </c>
    </row>
    <row r="114" spans="1:6" ht="15.6" thickTop="1" thickBot="1" x14ac:dyDescent="0.35">
      <c r="A114" s="10">
        <v>2025</v>
      </c>
      <c r="B114" s="10" t="s">
        <v>111</v>
      </c>
      <c r="C114" s="11">
        <v>525</v>
      </c>
      <c r="D114" s="23">
        <v>45957</v>
      </c>
      <c r="E114" s="10" t="s">
        <v>159</v>
      </c>
      <c r="F114" s="12" t="str">
        <f>VLOOKUP(B114,'Item &amp; Category'!$A$1:$B$256,2,FALSE)</f>
        <v>Food and Grocery</v>
      </c>
    </row>
    <row r="115" spans="1:6" ht="15.6" thickTop="1" thickBot="1" x14ac:dyDescent="0.35">
      <c r="A115" s="10">
        <v>2025</v>
      </c>
      <c r="B115" s="10" t="s">
        <v>141</v>
      </c>
      <c r="C115" s="11">
        <v>100</v>
      </c>
      <c r="D115" s="23">
        <v>45957</v>
      </c>
      <c r="E115" s="10" t="s">
        <v>159</v>
      </c>
      <c r="F115" s="12" t="str">
        <f>VLOOKUP(B115,'Item &amp; Category'!$A$1:$B$256,2,FALSE)</f>
        <v>Fitness</v>
      </c>
    </row>
    <row r="116" spans="1:6" ht="15.6" thickTop="1" thickBot="1" x14ac:dyDescent="0.35">
      <c r="A116" s="10">
        <v>2025</v>
      </c>
      <c r="B116" s="10" t="s">
        <v>15</v>
      </c>
      <c r="C116" s="11">
        <v>200</v>
      </c>
      <c r="D116" s="23">
        <v>45958</v>
      </c>
      <c r="E116" s="10" t="s">
        <v>159</v>
      </c>
      <c r="F116" s="12" t="str">
        <f>VLOOKUP(B116,'Item &amp; Category'!$A$1:$B$256,2,FALSE)</f>
        <v>Mobile &amp; Internet</v>
      </c>
    </row>
    <row r="117" spans="1:6" ht="15.6" thickTop="1" thickBot="1" x14ac:dyDescent="0.35">
      <c r="A117" s="10">
        <v>2025</v>
      </c>
      <c r="B117" s="10" t="s">
        <v>149</v>
      </c>
      <c r="C117" s="11">
        <v>10</v>
      </c>
      <c r="D117" s="23">
        <v>45958</v>
      </c>
      <c r="E117" s="10" t="s">
        <v>159</v>
      </c>
      <c r="F117" s="12" t="str">
        <f>VLOOKUP(B117,'Item &amp; Category'!$A$1:$B$256,2,FALSE)</f>
        <v>Utility Bills</v>
      </c>
    </row>
    <row r="118" spans="1:6" ht="15.6" thickTop="1" thickBot="1" x14ac:dyDescent="0.35">
      <c r="A118" s="10">
        <v>2025</v>
      </c>
      <c r="B118" s="10" t="s">
        <v>152</v>
      </c>
      <c r="C118" s="11">
        <v>300</v>
      </c>
      <c r="D118" s="23">
        <v>45959</v>
      </c>
      <c r="E118" s="10" t="s">
        <v>159</v>
      </c>
      <c r="F118" s="12" t="str">
        <f>VLOOKUP(B118,'Item &amp; Category'!$A$1:$B$256,2,FALSE)</f>
        <v>Commute</v>
      </c>
    </row>
    <row r="119" spans="1:6" ht="15.6" thickTop="1" thickBot="1" x14ac:dyDescent="0.35">
      <c r="A119" s="10">
        <v>2025</v>
      </c>
      <c r="B119" s="10" t="s">
        <v>12</v>
      </c>
      <c r="C119" s="11">
        <v>400</v>
      </c>
      <c r="D119" s="23">
        <v>45960</v>
      </c>
      <c r="E119" s="10" t="s">
        <v>159</v>
      </c>
      <c r="F119" s="12" t="str">
        <f>VLOOKUP(B119,'Item &amp; Category'!$A$1:$B$256,2,FALSE)</f>
        <v>Insurance</v>
      </c>
    </row>
    <row r="120" spans="1:6" ht="15.6" thickTop="1" thickBot="1" x14ac:dyDescent="0.35">
      <c r="A120" s="10">
        <v>2025</v>
      </c>
      <c r="B120" s="10" t="s">
        <v>129</v>
      </c>
      <c r="C120" s="11">
        <v>250</v>
      </c>
      <c r="D120" s="23">
        <v>45960</v>
      </c>
      <c r="E120" s="10" t="s">
        <v>159</v>
      </c>
      <c r="F120" s="12" t="str">
        <f>VLOOKUP(B120,'Item &amp; Category'!$A$1:$B$256,2,FALSE)</f>
        <v>Commute</v>
      </c>
    </row>
    <row r="121" spans="1:6" ht="15.6" thickTop="1" thickBot="1" x14ac:dyDescent="0.35">
      <c r="A121" s="10">
        <v>2025</v>
      </c>
      <c r="C121" s="11"/>
      <c r="D121" s="21"/>
      <c r="E121" s="10"/>
      <c r="F121" s="12"/>
    </row>
    <row r="122" spans="1:6" ht="15.6" thickTop="1" thickBot="1" x14ac:dyDescent="0.35">
      <c r="A122" s="10">
        <v>2025</v>
      </c>
      <c r="C122" s="11"/>
      <c r="D122" s="21"/>
      <c r="E122" s="10"/>
      <c r="F122" s="12"/>
    </row>
    <row r="123" spans="1:6" ht="15.6" thickTop="1" thickBot="1" x14ac:dyDescent="0.35">
      <c r="A123" s="10">
        <v>2025</v>
      </c>
      <c r="C123" s="11"/>
      <c r="D123" s="21"/>
      <c r="E123" s="10"/>
      <c r="F123" s="12"/>
    </row>
    <row r="124" spans="1:6" ht="15.6" thickTop="1" thickBot="1" x14ac:dyDescent="0.35">
      <c r="A124" s="10">
        <v>2025</v>
      </c>
      <c r="C124" s="11"/>
      <c r="D124" s="21"/>
      <c r="E124" s="10"/>
      <c r="F124" s="12"/>
    </row>
    <row r="125" spans="1:6" ht="15.6" thickTop="1" thickBot="1" x14ac:dyDescent="0.35">
      <c r="A125" s="10">
        <v>2025</v>
      </c>
      <c r="C125" s="11"/>
      <c r="D125" s="21"/>
      <c r="E125" s="10"/>
      <c r="F125" s="12"/>
    </row>
    <row r="126" spans="1:6" ht="15.6" thickTop="1" thickBot="1" x14ac:dyDescent="0.35">
      <c r="A126" s="10">
        <v>2025</v>
      </c>
      <c r="C126" s="11"/>
      <c r="D126" s="21"/>
      <c r="E126" s="10"/>
      <c r="F126" s="12"/>
    </row>
    <row r="127" spans="1:6" ht="15.6" thickTop="1" thickBot="1" x14ac:dyDescent="0.35">
      <c r="A127" s="10">
        <v>2025</v>
      </c>
      <c r="C127" s="11"/>
      <c r="D127" s="21"/>
      <c r="E127" s="10"/>
      <c r="F127" s="12"/>
    </row>
    <row r="128" spans="1:6" ht="15.6" thickTop="1" thickBot="1" x14ac:dyDescent="0.35">
      <c r="A128" s="10">
        <v>2025</v>
      </c>
      <c r="C128" s="11"/>
      <c r="D128" s="21"/>
      <c r="E128" s="10"/>
      <c r="F128" s="12"/>
    </row>
    <row r="129" spans="1:6" ht="15.6" thickTop="1" thickBot="1" x14ac:dyDescent="0.35">
      <c r="A129" s="10">
        <v>2025</v>
      </c>
      <c r="C129" s="11"/>
      <c r="D129" s="21"/>
      <c r="E129" s="10"/>
      <c r="F129" s="12"/>
    </row>
    <row r="130" spans="1:6" ht="15.6" thickTop="1" thickBot="1" x14ac:dyDescent="0.35">
      <c r="A130" s="10">
        <v>2025</v>
      </c>
      <c r="C130" s="11"/>
      <c r="D130" s="21"/>
      <c r="E130" s="10"/>
      <c r="F130" s="12"/>
    </row>
    <row r="131" spans="1:6" ht="15.6" thickTop="1" thickBot="1" x14ac:dyDescent="0.35">
      <c r="A131" s="10">
        <v>2025</v>
      </c>
      <c r="C131" s="11"/>
      <c r="D131" s="21"/>
      <c r="E131" s="10"/>
      <c r="F131" s="12"/>
    </row>
    <row r="132" spans="1:6" ht="15.6" thickTop="1" thickBot="1" x14ac:dyDescent="0.35">
      <c r="A132" s="10">
        <v>2025</v>
      </c>
      <c r="C132" s="11"/>
      <c r="D132" s="21"/>
      <c r="E132" s="10"/>
      <c r="F132" s="12"/>
    </row>
    <row r="133" spans="1:6" ht="15.6" thickTop="1" thickBot="1" x14ac:dyDescent="0.35">
      <c r="A133" s="10">
        <v>2025</v>
      </c>
      <c r="C133" s="11"/>
      <c r="D133" s="21"/>
      <c r="E133" s="10"/>
      <c r="F133" s="12"/>
    </row>
    <row r="134" spans="1:6" ht="15.6" thickTop="1" thickBot="1" x14ac:dyDescent="0.35">
      <c r="A134" s="10">
        <v>2025</v>
      </c>
      <c r="C134" s="11"/>
      <c r="D134" s="21"/>
      <c r="E134" s="10"/>
      <c r="F134" s="12"/>
    </row>
    <row r="135" spans="1:6" ht="15.6" thickTop="1" thickBot="1" x14ac:dyDescent="0.35">
      <c r="A135" s="10">
        <v>2025</v>
      </c>
      <c r="C135" s="11"/>
      <c r="D135" s="21"/>
      <c r="E135" s="10"/>
      <c r="F135" s="12"/>
    </row>
    <row r="136" spans="1:6" ht="15" thickTop="1" x14ac:dyDescent="0.3"/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5226B-9A8B-46F4-8144-66AC420EDCA0}">
  <dimension ref="A1:D82"/>
  <sheetViews>
    <sheetView tabSelected="1" workbookViewId="0">
      <selection activeCell="I6" sqref="I6"/>
    </sheetView>
  </sheetViews>
  <sheetFormatPr defaultRowHeight="14.4" x14ac:dyDescent="0.3"/>
  <cols>
    <col min="1" max="1" width="22.33203125" bestFit="1" customWidth="1"/>
    <col min="2" max="2" width="15.5546875" bestFit="1" customWidth="1"/>
    <col min="3" max="3" width="7" bestFit="1" customWidth="1"/>
    <col min="4" max="4" width="10.77734375" bestFit="1" customWidth="1"/>
  </cols>
  <sheetData>
    <row r="1" spans="1:4" x14ac:dyDescent="0.3">
      <c r="A1" s="16" t="s">
        <v>156</v>
      </c>
      <c r="B1" s="16" t="s">
        <v>157</v>
      </c>
    </row>
    <row r="2" spans="1:4" x14ac:dyDescent="0.3">
      <c r="A2" s="16" t="s">
        <v>154</v>
      </c>
      <c r="B2" t="s">
        <v>109</v>
      </c>
      <c r="C2" t="s">
        <v>159</v>
      </c>
      <c r="D2" t="s">
        <v>155</v>
      </c>
    </row>
    <row r="3" spans="1:4" x14ac:dyDescent="0.3">
      <c r="A3" s="17" t="s">
        <v>32</v>
      </c>
      <c r="B3" s="19">
        <v>300</v>
      </c>
      <c r="C3" s="19">
        <v>150</v>
      </c>
      <c r="D3" s="19">
        <v>450</v>
      </c>
    </row>
    <row r="4" spans="1:4" x14ac:dyDescent="0.3">
      <c r="A4" s="18" t="s">
        <v>150</v>
      </c>
      <c r="B4" s="19">
        <v>300</v>
      </c>
      <c r="C4" s="19">
        <v>150</v>
      </c>
      <c r="D4" s="19">
        <v>450</v>
      </c>
    </row>
    <row r="5" spans="1:4" x14ac:dyDescent="0.3">
      <c r="A5" s="17" t="s">
        <v>91</v>
      </c>
      <c r="B5" s="19">
        <v>100000</v>
      </c>
      <c r="C5" s="19">
        <v>7945.54</v>
      </c>
      <c r="D5" s="19">
        <v>107945.54</v>
      </c>
    </row>
    <row r="6" spans="1:4" x14ac:dyDescent="0.3">
      <c r="A6" s="18" t="s">
        <v>23</v>
      </c>
      <c r="B6" s="19">
        <v>100000</v>
      </c>
      <c r="C6" s="19">
        <v>7945.54</v>
      </c>
      <c r="D6" s="19">
        <v>107945.54</v>
      </c>
    </row>
    <row r="7" spans="1:4" x14ac:dyDescent="0.3">
      <c r="A7" s="17" t="s">
        <v>92</v>
      </c>
      <c r="B7" s="19">
        <v>200</v>
      </c>
      <c r="C7" s="19"/>
      <c r="D7" s="19">
        <v>200</v>
      </c>
    </row>
    <row r="8" spans="1:4" x14ac:dyDescent="0.3">
      <c r="A8" s="18" t="s">
        <v>153</v>
      </c>
      <c r="B8" s="19">
        <v>200</v>
      </c>
      <c r="C8" s="19"/>
      <c r="D8" s="19">
        <v>200</v>
      </c>
    </row>
    <row r="9" spans="1:4" x14ac:dyDescent="0.3">
      <c r="A9" s="17" t="s">
        <v>93</v>
      </c>
      <c r="B9" s="19"/>
      <c r="C9" s="19">
        <v>2500</v>
      </c>
      <c r="D9" s="19">
        <v>2500</v>
      </c>
    </row>
    <row r="10" spans="1:4" x14ac:dyDescent="0.3">
      <c r="A10" s="18" t="s">
        <v>160</v>
      </c>
      <c r="B10" s="19"/>
      <c r="C10" s="19">
        <v>2500</v>
      </c>
      <c r="D10" s="19">
        <v>2500</v>
      </c>
    </row>
    <row r="11" spans="1:4" x14ac:dyDescent="0.3">
      <c r="A11" s="17" t="s">
        <v>2</v>
      </c>
      <c r="B11" s="19">
        <v>15510</v>
      </c>
      <c r="C11" s="19">
        <v>9906.4599999999991</v>
      </c>
      <c r="D11" s="19">
        <v>25416.46</v>
      </c>
    </row>
    <row r="12" spans="1:4" x14ac:dyDescent="0.3">
      <c r="A12" s="18" t="s">
        <v>148</v>
      </c>
      <c r="B12" s="19">
        <v>410</v>
      </c>
      <c r="C12" s="19">
        <v>1728.92</v>
      </c>
      <c r="D12" s="19">
        <v>2138.92</v>
      </c>
    </row>
    <row r="13" spans="1:4" x14ac:dyDescent="0.3">
      <c r="A13" s="18" t="s">
        <v>129</v>
      </c>
      <c r="B13" s="19">
        <v>15000</v>
      </c>
      <c r="C13" s="19">
        <v>6832.54</v>
      </c>
      <c r="D13" s="19">
        <v>21832.54</v>
      </c>
    </row>
    <row r="14" spans="1:4" x14ac:dyDescent="0.3">
      <c r="A14" s="18" t="s">
        <v>152</v>
      </c>
      <c r="B14" s="19">
        <v>100</v>
      </c>
      <c r="C14" s="19">
        <v>1345</v>
      </c>
      <c r="D14" s="19">
        <v>1445</v>
      </c>
    </row>
    <row r="15" spans="1:4" x14ac:dyDescent="0.3">
      <c r="A15" s="17" t="s">
        <v>7</v>
      </c>
      <c r="B15" s="19">
        <v>2813</v>
      </c>
      <c r="C15" s="19">
        <v>7340</v>
      </c>
      <c r="D15" s="19">
        <v>10153</v>
      </c>
    </row>
    <row r="16" spans="1:4" x14ac:dyDescent="0.3">
      <c r="A16" s="18" t="s">
        <v>147</v>
      </c>
      <c r="B16" s="19">
        <v>299</v>
      </c>
      <c r="C16" s="19">
        <v>2300</v>
      </c>
      <c r="D16" s="19">
        <v>2599</v>
      </c>
    </row>
    <row r="17" spans="1:4" x14ac:dyDescent="0.3">
      <c r="A17" s="18" t="s">
        <v>139</v>
      </c>
      <c r="B17" s="19">
        <v>200</v>
      </c>
      <c r="C17" s="19"/>
      <c r="D17" s="19">
        <v>200</v>
      </c>
    </row>
    <row r="18" spans="1:4" x14ac:dyDescent="0.3">
      <c r="A18" s="18" t="s">
        <v>137</v>
      </c>
      <c r="B18" s="19">
        <v>821</v>
      </c>
      <c r="C18" s="19">
        <v>3000</v>
      </c>
      <c r="D18" s="19">
        <v>3821</v>
      </c>
    </row>
    <row r="19" spans="1:4" x14ac:dyDescent="0.3">
      <c r="A19" s="18" t="s">
        <v>142</v>
      </c>
      <c r="B19" s="19">
        <v>500</v>
      </c>
      <c r="C19" s="19">
        <v>600</v>
      </c>
      <c r="D19" s="19">
        <v>1100</v>
      </c>
    </row>
    <row r="20" spans="1:4" x14ac:dyDescent="0.3">
      <c r="A20" s="18" t="s">
        <v>140</v>
      </c>
      <c r="B20" s="19">
        <v>200</v>
      </c>
      <c r="C20" s="19">
        <v>1440</v>
      </c>
      <c r="D20" s="19">
        <v>1640</v>
      </c>
    </row>
    <row r="21" spans="1:4" x14ac:dyDescent="0.3">
      <c r="A21" s="18" t="s">
        <v>138</v>
      </c>
      <c r="B21" s="19">
        <v>793</v>
      </c>
      <c r="C21" s="19"/>
      <c r="D21" s="19">
        <v>793</v>
      </c>
    </row>
    <row r="22" spans="1:4" x14ac:dyDescent="0.3">
      <c r="A22" s="17" t="s">
        <v>94</v>
      </c>
      <c r="B22" s="19">
        <v>1978.01</v>
      </c>
      <c r="C22" s="19">
        <v>1148.8399999999999</v>
      </c>
      <c r="D22" s="19">
        <v>3126.85</v>
      </c>
    </row>
    <row r="23" spans="1:4" x14ac:dyDescent="0.3">
      <c r="A23" s="18" t="s">
        <v>141</v>
      </c>
      <c r="B23" s="19">
        <v>1978.01</v>
      </c>
      <c r="C23" s="19">
        <v>1148.8399999999999</v>
      </c>
      <c r="D23" s="19">
        <v>3126.85</v>
      </c>
    </row>
    <row r="24" spans="1:4" x14ac:dyDescent="0.3">
      <c r="A24" s="17" t="s">
        <v>95</v>
      </c>
      <c r="B24" s="19">
        <v>6469.5</v>
      </c>
      <c r="C24" s="19">
        <v>19110.39</v>
      </c>
      <c r="D24" s="19">
        <v>25579.890000000003</v>
      </c>
    </row>
    <row r="25" spans="1:4" x14ac:dyDescent="0.3">
      <c r="A25" s="18" t="s">
        <v>38</v>
      </c>
      <c r="B25" s="19"/>
      <c r="C25" s="19">
        <v>1400</v>
      </c>
      <c r="D25" s="19">
        <v>1400</v>
      </c>
    </row>
    <row r="26" spans="1:4" x14ac:dyDescent="0.3">
      <c r="A26" s="18" t="s">
        <v>111</v>
      </c>
      <c r="B26" s="19">
        <v>290</v>
      </c>
      <c r="C26" s="19">
        <v>1795.33</v>
      </c>
      <c r="D26" s="19">
        <v>2085.33</v>
      </c>
    </row>
    <row r="27" spans="1:4" x14ac:dyDescent="0.3">
      <c r="A27" s="18" t="s">
        <v>36</v>
      </c>
      <c r="B27" s="19"/>
      <c r="C27" s="19">
        <v>10500</v>
      </c>
      <c r="D27" s="19">
        <v>10500</v>
      </c>
    </row>
    <row r="28" spans="1:4" x14ac:dyDescent="0.3">
      <c r="A28" s="18" t="s">
        <v>136</v>
      </c>
      <c r="B28" s="19">
        <v>300</v>
      </c>
      <c r="C28" s="19"/>
      <c r="D28" s="19">
        <v>300</v>
      </c>
    </row>
    <row r="29" spans="1:4" x14ac:dyDescent="0.3">
      <c r="A29" s="18" t="s">
        <v>151</v>
      </c>
      <c r="B29" s="19">
        <v>179.5</v>
      </c>
      <c r="C29" s="19">
        <v>1500</v>
      </c>
      <c r="D29" s="19">
        <v>1679.5</v>
      </c>
    </row>
    <row r="30" spans="1:4" x14ac:dyDescent="0.3">
      <c r="A30" s="18" t="s">
        <v>146</v>
      </c>
      <c r="B30" s="19">
        <v>500</v>
      </c>
      <c r="C30" s="19"/>
      <c r="D30" s="19">
        <v>500</v>
      </c>
    </row>
    <row r="31" spans="1:4" x14ac:dyDescent="0.3">
      <c r="A31" s="18" t="s">
        <v>166</v>
      </c>
      <c r="B31" s="19"/>
      <c r="C31" s="19">
        <v>420.06</v>
      </c>
      <c r="D31" s="19">
        <v>420.06</v>
      </c>
    </row>
    <row r="32" spans="1:4" x14ac:dyDescent="0.3">
      <c r="A32" s="18" t="s">
        <v>112</v>
      </c>
      <c r="B32" s="19">
        <v>5000</v>
      </c>
      <c r="C32" s="19"/>
      <c r="D32" s="19">
        <v>5000</v>
      </c>
    </row>
    <row r="33" spans="1:4" x14ac:dyDescent="0.3">
      <c r="A33" s="18" t="s">
        <v>145</v>
      </c>
      <c r="B33" s="19">
        <v>200</v>
      </c>
      <c r="C33" s="19"/>
      <c r="D33" s="19">
        <v>200</v>
      </c>
    </row>
    <row r="34" spans="1:4" x14ac:dyDescent="0.3">
      <c r="A34" s="18" t="s">
        <v>167</v>
      </c>
      <c r="B34" s="19"/>
      <c r="C34" s="19">
        <v>3495</v>
      </c>
      <c r="D34" s="19">
        <v>3495</v>
      </c>
    </row>
    <row r="35" spans="1:4" x14ac:dyDescent="0.3">
      <c r="A35" s="17" t="s">
        <v>51</v>
      </c>
      <c r="B35" s="19">
        <v>15300</v>
      </c>
      <c r="C35" s="19"/>
      <c r="D35" s="19">
        <v>15300</v>
      </c>
    </row>
    <row r="36" spans="1:4" x14ac:dyDescent="0.3">
      <c r="A36" s="18" t="s">
        <v>113</v>
      </c>
      <c r="B36" s="19">
        <v>1300</v>
      </c>
      <c r="C36" s="19"/>
      <c r="D36" s="19">
        <v>1300</v>
      </c>
    </row>
    <row r="37" spans="1:4" x14ac:dyDescent="0.3">
      <c r="A37" s="18" t="s">
        <v>130</v>
      </c>
      <c r="B37" s="19">
        <v>14000</v>
      </c>
      <c r="C37" s="19"/>
      <c r="D37" s="19">
        <v>14000</v>
      </c>
    </row>
    <row r="38" spans="1:4" x14ac:dyDescent="0.3">
      <c r="A38" s="17" t="s">
        <v>96</v>
      </c>
      <c r="B38" s="19">
        <v>2899</v>
      </c>
      <c r="C38" s="19"/>
      <c r="D38" s="19">
        <v>2899</v>
      </c>
    </row>
    <row r="39" spans="1:4" x14ac:dyDescent="0.3">
      <c r="A39" s="18" t="s">
        <v>14</v>
      </c>
      <c r="B39" s="19">
        <v>2899</v>
      </c>
      <c r="C39" s="19"/>
      <c r="D39" s="19">
        <v>2899</v>
      </c>
    </row>
    <row r="40" spans="1:4" x14ac:dyDescent="0.3">
      <c r="A40" s="17" t="s">
        <v>55</v>
      </c>
      <c r="B40" s="19">
        <v>2456.17</v>
      </c>
      <c r="C40" s="19">
        <v>9000</v>
      </c>
      <c r="D40" s="19">
        <v>11456.17</v>
      </c>
    </row>
    <row r="41" spans="1:4" x14ac:dyDescent="0.3">
      <c r="A41" s="18" t="s">
        <v>126</v>
      </c>
      <c r="B41" s="19">
        <v>2456.17</v>
      </c>
      <c r="C41" s="19">
        <v>9000</v>
      </c>
      <c r="D41" s="19">
        <v>11456.17</v>
      </c>
    </row>
    <row r="42" spans="1:4" x14ac:dyDescent="0.3">
      <c r="A42" s="17" t="s">
        <v>58</v>
      </c>
      <c r="B42" s="19">
        <v>69150</v>
      </c>
      <c r="C42" s="19">
        <v>21556.24936113576</v>
      </c>
      <c r="D42" s="19">
        <v>90706.249361135764</v>
      </c>
    </row>
    <row r="43" spans="1:4" x14ac:dyDescent="0.3">
      <c r="A43" s="18" t="s">
        <v>131</v>
      </c>
      <c r="B43" s="19">
        <v>14000</v>
      </c>
      <c r="C43" s="19">
        <v>14000</v>
      </c>
      <c r="D43" s="19">
        <v>28000</v>
      </c>
    </row>
    <row r="44" spans="1:4" x14ac:dyDescent="0.3">
      <c r="A44" s="18" t="s">
        <v>143</v>
      </c>
      <c r="B44" s="19">
        <v>50000</v>
      </c>
      <c r="C44" s="19">
        <v>7556.2493611357604</v>
      </c>
      <c r="D44" s="19">
        <v>57556.249361135764</v>
      </c>
    </row>
    <row r="45" spans="1:4" x14ac:dyDescent="0.3">
      <c r="A45" s="18" t="s">
        <v>123</v>
      </c>
      <c r="B45" s="19">
        <v>5150</v>
      </c>
      <c r="C45" s="19"/>
      <c r="D45" s="19">
        <v>5150</v>
      </c>
    </row>
    <row r="46" spans="1:4" x14ac:dyDescent="0.3">
      <c r="A46" s="17" t="s">
        <v>6</v>
      </c>
      <c r="B46" s="19">
        <v>1240</v>
      </c>
      <c r="C46" s="19">
        <v>1729.4</v>
      </c>
      <c r="D46" s="19">
        <v>2969.4</v>
      </c>
    </row>
    <row r="47" spans="1:4" x14ac:dyDescent="0.3">
      <c r="A47" s="18" t="s">
        <v>116</v>
      </c>
      <c r="B47" s="19">
        <v>500</v>
      </c>
      <c r="C47" s="19">
        <v>1470.4</v>
      </c>
      <c r="D47" s="19">
        <v>1970.4</v>
      </c>
    </row>
    <row r="48" spans="1:4" x14ac:dyDescent="0.3">
      <c r="A48" s="18" t="s">
        <v>127</v>
      </c>
      <c r="B48" s="19">
        <v>740</v>
      </c>
      <c r="C48" s="19">
        <v>259</v>
      </c>
      <c r="D48" s="19">
        <v>999</v>
      </c>
    </row>
    <row r="49" spans="1:4" x14ac:dyDescent="0.3">
      <c r="A49" s="17" t="s">
        <v>1</v>
      </c>
      <c r="B49" s="19"/>
      <c r="C49" s="19">
        <v>41500</v>
      </c>
      <c r="D49" s="19">
        <v>41500</v>
      </c>
    </row>
    <row r="50" spans="1:4" x14ac:dyDescent="0.3">
      <c r="A50" s="18" t="s">
        <v>165</v>
      </c>
      <c r="B50" s="19"/>
      <c r="C50" s="19">
        <v>41500</v>
      </c>
      <c r="D50" s="19">
        <v>41500</v>
      </c>
    </row>
    <row r="51" spans="1:4" x14ac:dyDescent="0.3">
      <c r="A51" s="17" t="s">
        <v>65</v>
      </c>
      <c r="B51" s="19">
        <v>2000</v>
      </c>
      <c r="C51" s="19">
        <v>7000</v>
      </c>
      <c r="D51" s="19">
        <v>9000</v>
      </c>
    </row>
    <row r="52" spans="1:4" x14ac:dyDescent="0.3">
      <c r="A52" s="18" t="s">
        <v>122</v>
      </c>
      <c r="B52" s="19">
        <v>2000</v>
      </c>
      <c r="C52" s="19">
        <v>7000</v>
      </c>
      <c r="D52" s="19">
        <v>9000</v>
      </c>
    </row>
    <row r="53" spans="1:4" x14ac:dyDescent="0.3">
      <c r="A53" s="17" t="s">
        <v>3</v>
      </c>
      <c r="B53" s="19">
        <v>39000</v>
      </c>
      <c r="C53" s="19">
        <v>58400</v>
      </c>
      <c r="D53" s="19">
        <v>97400</v>
      </c>
    </row>
    <row r="54" spans="1:4" x14ac:dyDescent="0.3">
      <c r="A54" s="18" t="s">
        <v>12</v>
      </c>
      <c r="B54" s="19">
        <v>39000</v>
      </c>
      <c r="C54" s="19">
        <v>58400</v>
      </c>
      <c r="D54" s="19">
        <v>97400</v>
      </c>
    </row>
    <row r="55" spans="1:4" x14ac:dyDescent="0.3">
      <c r="A55" s="17" t="s">
        <v>97</v>
      </c>
      <c r="B55" s="19">
        <v>81100</v>
      </c>
      <c r="C55" s="19">
        <v>52149.59</v>
      </c>
      <c r="D55" s="19">
        <v>133249.59</v>
      </c>
    </row>
    <row r="56" spans="1:4" x14ac:dyDescent="0.3">
      <c r="A56" s="18" t="s">
        <v>119</v>
      </c>
      <c r="B56" s="19">
        <v>5000</v>
      </c>
      <c r="C56" s="19"/>
      <c r="D56" s="19">
        <v>5000</v>
      </c>
    </row>
    <row r="57" spans="1:4" x14ac:dyDescent="0.3">
      <c r="A57" s="18" t="s">
        <v>117</v>
      </c>
      <c r="B57" s="19">
        <v>5000</v>
      </c>
      <c r="C57" s="19"/>
      <c r="D57" s="19">
        <v>5000</v>
      </c>
    </row>
    <row r="58" spans="1:4" x14ac:dyDescent="0.3">
      <c r="A58" s="18" t="s">
        <v>121</v>
      </c>
      <c r="B58" s="19">
        <v>5100</v>
      </c>
      <c r="C58" s="19">
        <v>20000</v>
      </c>
      <c r="D58" s="19">
        <v>25100</v>
      </c>
    </row>
    <row r="59" spans="1:4" x14ac:dyDescent="0.3">
      <c r="A59" s="18" t="s">
        <v>118</v>
      </c>
      <c r="B59" s="19">
        <v>2000</v>
      </c>
      <c r="C59" s="19"/>
      <c r="D59" s="19">
        <v>2000</v>
      </c>
    </row>
    <row r="60" spans="1:4" x14ac:dyDescent="0.3">
      <c r="A60" s="18" t="s">
        <v>114</v>
      </c>
      <c r="B60" s="19">
        <v>9000</v>
      </c>
      <c r="C60" s="19">
        <v>7200</v>
      </c>
      <c r="D60" s="19">
        <v>16200</v>
      </c>
    </row>
    <row r="61" spans="1:4" x14ac:dyDescent="0.3">
      <c r="A61" s="18" t="s">
        <v>161</v>
      </c>
      <c r="B61" s="19"/>
      <c r="C61" s="19">
        <v>18449.59</v>
      </c>
      <c r="D61" s="19">
        <v>18449.59</v>
      </c>
    </row>
    <row r="62" spans="1:4" x14ac:dyDescent="0.3">
      <c r="A62" s="18" t="s">
        <v>120</v>
      </c>
      <c r="B62" s="19">
        <v>5000</v>
      </c>
      <c r="C62" s="19"/>
      <c r="D62" s="19">
        <v>5000</v>
      </c>
    </row>
    <row r="63" spans="1:4" x14ac:dyDescent="0.3">
      <c r="A63" s="18" t="s">
        <v>144</v>
      </c>
      <c r="B63" s="19">
        <v>50000</v>
      </c>
      <c r="C63" s="19">
        <v>6500</v>
      </c>
      <c r="D63" s="19">
        <v>56500</v>
      </c>
    </row>
    <row r="64" spans="1:4" x14ac:dyDescent="0.3">
      <c r="A64" s="17" t="s">
        <v>75</v>
      </c>
      <c r="B64" s="19">
        <v>1400</v>
      </c>
      <c r="C64" s="19">
        <v>6700</v>
      </c>
      <c r="D64" s="19">
        <v>8100</v>
      </c>
    </row>
    <row r="65" spans="1:4" x14ac:dyDescent="0.3">
      <c r="A65" s="18" t="s">
        <v>115</v>
      </c>
      <c r="B65" s="19">
        <v>1400</v>
      </c>
      <c r="C65" s="19">
        <v>6700</v>
      </c>
      <c r="D65" s="19">
        <v>8100</v>
      </c>
    </row>
    <row r="66" spans="1:4" x14ac:dyDescent="0.3">
      <c r="A66" s="17" t="s">
        <v>99</v>
      </c>
      <c r="B66" s="19">
        <v>3390</v>
      </c>
      <c r="C66" s="19">
        <v>2446</v>
      </c>
      <c r="D66" s="19">
        <v>5836</v>
      </c>
    </row>
    <row r="67" spans="1:4" x14ac:dyDescent="0.3">
      <c r="A67" s="18" t="s">
        <v>163</v>
      </c>
      <c r="B67" s="19"/>
      <c r="C67" s="19">
        <v>850</v>
      </c>
      <c r="D67" s="19">
        <v>850</v>
      </c>
    </row>
    <row r="68" spans="1:4" x14ac:dyDescent="0.3">
      <c r="A68" s="18" t="s">
        <v>15</v>
      </c>
      <c r="B68" s="19">
        <v>200</v>
      </c>
      <c r="C68" s="19">
        <v>200</v>
      </c>
      <c r="D68" s="19">
        <v>400</v>
      </c>
    </row>
    <row r="69" spans="1:4" x14ac:dyDescent="0.3">
      <c r="A69" s="18" t="s">
        <v>125</v>
      </c>
      <c r="B69" s="19">
        <v>690</v>
      </c>
      <c r="C69" s="19">
        <v>200</v>
      </c>
      <c r="D69" s="19">
        <v>890</v>
      </c>
    </row>
    <row r="70" spans="1:4" x14ac:dyDescent="0.3">
      <c r="A70" s="18" t="s">
        <v>124</v>
      </c>
      <c r="B70" s="19">
        <v>2500</v>
      </c>
      <c r="C70" s="19"/>
      <c r="D70" s="19">
        <v>2500</v>
      </c>
    </row>
    <row r="71" spans="1:4" x14ac:dyDescent="0.3">
      <c r="A71" s="18" t="s">
        <v>164</v>
      </c>
      <c r="B71" s="19"/>
      <c r="C71" s="19">
        <v>1196</v>
      </c>
      <c r="D71" s="19">
        <v>1196</v>
      </c>
    </row>
    <row r="72" spans="1:4" x14ac:dyDescent="0.3">
      <c r="A72" s="17" t="s">
        <v>82</v>
      </c>
      <c r="B72" s="19">
        <v>27000</v>
      </c>
      <c r="C72" s="19">
        <v>19300</v>
      </c>
      <c r="D72" s="19">
        <v>46300</v>
      </c>
    </row>
    <row r="73" spans="1:4" x14ac:dyDescent="0.3">
      <c r="A73" s="18" t="s">
        <v>162</v>
      </c>
      <c r="B73" s="19"/>
      <c r="C73" s="19">
        <v>6500</v>
      </c>
      <c r="D73" s="19">
        <v>6500</v>
      </c>
    </row>
    <row r="74" spans="1:4" x14ac:dyDescent="0.3">
      <c r="A74" s="18" t="s">
        <v>132</v>
      </c>
      <c r="B74" s="19">
        <v>27000</v>
      </c>
      <c r="C74" s="19">
        <v>12800</v>
      </c>
      <c r="D74" s="19">
        <v>39800</v>
      </c>
    </row>
    <row r="75" spans="1:4" x14ac:dyDescent="0.3">
      <c r="A75" s="17" t="s">
        <v>85</v>
      </c>
      <c r="B75" s="19">
        <v>50000</v>
      </c>
      <c r="C75" s="19"/>
      <c r="D75" s="19">
        <v>50000</v>
      </c>
    </row>
    <row r="76" spans="1:4" x14ac:dyDescent="0.3">
      <c r="A76" s="18" t="s">
        <v>128</v>
      </c>
      <c r="B76" s="19">
        <v>50000</v>
      </c>
      <c r="C76" s="19"/>
      <c r="D76" s="19">
        <v>50000</v>
      </c>
    </row>
    <row r="77" spans="1:4" x14ac:dyDescent="0.3">
      <c r="A77" s="17" t="s">
        <v>102</v>
      </c>
      <c r="B77" s="19">
        <v>3400</v>
      </c>
      <c r="C77" s="19">
        <v>32171</v>
      </c>
      <c r="D77" s="19">
        <v>35571</v>
      </c>
    </row>
    <row r="78" spans="1:4" x14ac:dyDescent="0.3">
      <c r="A78" s="18" t="s">
        <v>135</v>
      </c>
      <c r="B78" s="19">
        <v>2000</v>
      </c>
      <c r="C78" s="19"/>
      <c r="D78" s="19">
        <v>2000</v>
      </c>
    </row>
    <row r="79" spans="1:4" x14ac:dyDescent="0.3">
      <c r="A79" s="18" t="s">
        <v>149</v>
      </c>
      <c r="B79" s="19">
        <v>400</v>
      </c>
      <c r="C79" s="19">
        <v>5671</v>
      </c>
      <c r="D79" s="19">
        <v>6071</v>
      </c>
    </row>
    <row r="80" spans="1:4" x14ac:dyDescent="0.3">
      <c r="A80" s="18" t="s">
        <v>133</v>
      </c>
      <c r="B80" s="19">
        <v>500</v>
      </c>
      <c r="C80" s="19">
        <v>13500</v>
      </c>
      <c r="D80" s="19">
        <v>14000</v>
      </c>
    </row>
    <row r="81" spans="1:4" x14ac:dyDescent="0.3">
      <c r="A81" s="18" t="s">
        <v>134</v>
      </c>
      <c r="B81" s="19">
        <v>500</v>
      </c>
      <c r="C81" s="19">
        <v>13000</v>
      </c>
      <c r="D81" s="19">
        <v>13500</v>
      </c>
    </row>
    <row r="82" spans="1:4" x14ac:dyDescent="0.3">
      <c r="A82" s="17" t="s">
        <v>155</v>
      </c>
      <c r="B82" s="19">
        <v>425605.68000000005</v>
      </c>
      <c r="C82" s="19">
        <v>300053.46936113574</v>
      </c>
      <c r="D82" s="19">
        <v>725659.1493611359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FDEFE-DB0B-4588-839B-018CEC7022BA}">
  <dimension ref="A1:B80"/>
  <sheetViews>
    <sheetView topLeftCell="A2" zoomScaleNormal="100" workbookViewId="0">
      <selection activeCell="G28" sqref="G28"/>
    </sheetView>
  </sheetViews>
  <sheetFormatPr defaultRowHeight="14.4" x14ac:dyDescent="0.3"/>
  <cols>
    <col min="1" max="1" width="20.5546875" customWidth="1"/>
    <col min="2" max="2" width="19.44140625" customWidth="1"/>
  </cols>
  <sheetData>
    <row r="1" spans="1:2" x14ac:dyDescent="0.3">
      <c r="A1" s="6" t="s">
        <v>20</v>
      </c>
      <c r="B1" s="6" t="s">
        <v>0</v>
      </c>
    </row>
    <row r="2" spans="1:2" ht="15" thickBot="1" x14ac:dyDescent="0.35">
      <c r="A2" s="5" t="s">
        <v>21</v>
      </c>
      <c r="B2" s="5" t="s">
        <v>32</v>
      </c>
    </row>
    <row r="3" spans="1:2" ht="15" thickBot="1" x14ac:dyDescent="0.35">
      <c r="A3" s="4" t="s">
        <v>22</v>
      </c>
      <c r="B3" s="4" t="s">
        <v>32</v>
      </c>
    </row>
    <row r="4" spans="1:2" ht="15" thickBot="1" x14ac:dyDescent="0.35">
      <c r="A4" s="4" t="s">
        <v>23</v>
      </c>
      <c r="B4" s="4" t="s">
        <v>91</v>
      </c>
    </row>
    <row r="5" spans="1:2" ht="15" thickBot="1" x14ac:dyDescent="0.35">
      <c r="A5" s="4" t="s">
        <v>24</v>
      </c>
      <c r="B5" s="4" t="s">
        <v>92</v>
      </c>
    </row>
    <row r="6" spans="1:2" ht="15" thickBot="1" x14ac:dyDescent="0.35">
      <c r="A6" s="4" t="s">
        <v>25</v>
      </c>
      <c r="B6" s="4" t="s">
        <v>93</v>
      </c>
    </row>
    <row r="7" spans="1:2" ht="15" thickBot="1" x14ac:dyDescent="0.35">
      <c r="A7" s="4" t="s">
        <v>26</v>
      </c>
      <c r="B7" s="4" t="s">
        <v>2</v>
      </c>
    </row>
    <row r="8" spans="1:2" ht="15" thickBot="1" x14ac:dyDescent="0.35">
      <c r="A8" s="4" t="s">
        <v>27</v>
      </c>
      <c r="B8" s="4" t="s">
        <v>2</v>
      </c>
    </row>
    <row r="9" spans="1:2" ht="15" thickBot="1" x14ac:dyDescent="0.35">
      <c r="A9" s="4" t="s">
        <v>28</v>
      </c>
      <c r="B9" s="4" t="s">
        <v>2</v>
      </c>
    </row>
    <row r="10" spans="1:2" ht="15" thickBot="1" x14ac:dyDescent="0.35">
      <c r="A10" s="4" t="s">
        <v>29</v>
      </c>
      <c r="B10" s="4" t="s">
        <v>7</v>
      </c>
    </row>
    <row r="11" spans="1:2" ht="15" thickBot="1" x14ac:dyDescent="0.35">
      <c r="A11" s="4" t="s">
        <v>30</v>
      </c>
      <c r="B11" s="4" t="s">
        <v>7</v>
      </c>
    </row>
    <row r="12" spans="1:2" ht="15" thickBot="1" x14ac:dyDescent="0.35">
      <c r="A12" s="4" t="s">
        <v>31</v>
      </c>
      <c r="B12" s="4" t="s">
        <v>7</v>
      </c>
    </row>
    <row r="13" spans="1:2" ht="15" thickBot="1" x14ac:dyDescent="0.35">
      <c r="A13" s="4" t="s">
        <v>32</v>
      </c>
      <c r="B13" s="4" t="s">
        <v>7</v>
      </c>
    </row>
    <row r="14" spans="1:2" ht="15" thickBot="1" x14ac:dyDescent="0.35">
      <c r="A14" s="4" t="s">
        <v>33</v>
      </c>
      <c r="B14" s="4" t="s">
        <v>7</v>
      </c>
    </row>
    <row r="15" spans="1:2" ht="15" thickBot="1" x14ac:dyDescent="0.35">
      <c r="A15" s="4" t="s">
        <v>31</v>
      </c>
      <c r="B15" s="4" t="s">
        <v>7</v>
      </c>
    </row>
    <row r="16" spans="1:2" ht="15" thickBot="1" x14ac:dyDescent="0.35">
      <c r="A16" s="4" t="s">
        <v>34</v>
      </c>
      <c r="B16" s="4" t="s">
        <v>7</v>
      </c>
    </row>
    <row r="17" spans="1:2" ht="15" thickBot="1" x14ac:dyDescent="0.35">
      <c r="A17" s="4" t="s">
        <v>35</v>
      </c>
      <c r="B17" s="4" t="s">
        <v>94</v>
      </c>
    </row>
    <row r="18" spans="1:2" ht="15" thickBot="1" x14ac:dyDescent="0.35">
      <c r="A18" s="4" t="s">
        <v>36</v>
      </c>
      <c r="B18" s="4" t="s">
        <v>95</v>
      </c>
    </row>
    <row r="19" spans="1:2" ht="15" thickBot="1" x14ac:dyDescent="0.35">
      <c r="A19" s="4" t="s">
        <v>37</v>
      </c>
      <c r="B19" s="4" t="s">
        <v>95</v>
      </c>
    </row>
    <row r="20" spans="1:2" ht="15" thickBot="1" x14ac:dyDescent="0.35">
      <c r="A20" s="4" t="s">
        <v>38</v>
      </c>
      <c r="B20" s="4" t="s">
        <v>95</v>
      </c>
    </row>
    <row r="21" spans="1:2" ht="15" thickBot="1" x14ac:dyDescent="0.35">
      <c r="A21" s="4" t="s">
        <v>39</v>
      </c>
      <c r="B21" s="4" t="s">
        <v>95</v>
      </c>
    </row>
    <row r="22" spans="1:2" ht="15" thickBot="1" x14ac:dyDescent="0.35">
      <c r="A22" s="4" t="s">
        <v>40</v>
      </c>
      <c r="B22" s="4" t="s">
        <v>95</v>
      </c>
    </row>
    <row r="23" spans="1:2" ht="15" thickBot="1" x14ac:dyDescent="0.35">
      <c r="A23" s="4" t="s">
        <v>41</v>
      </c>
      <c r="B23" s="4" t="s">
        <v>95</v>
      </c>
    </row>
    <row r="24" spans="1:2" ht="15" thickBot="1" x14ac:dyDescent="0.35">
      <c r="A24" s="4" t="s">
        <v>42</v>
      </c>
      <c r="B24" s="4" t="s">
        <v>95</v>
      </c>
    </row>
    <row r="25" spans="1:2" ht="15" thickBot="1" x14ac:dyDescent="0.35">
      <c r="A25" s="4" t="s">
        <v>43</v>
      </c>
      <c r="B25" s="4" t="s">
        <v>95</v>
      </c>
    </row>
    <row r="26" spans="1:2" ht="15" thickBot="1" x14ac:dyDescent="0.35">
      <c r="A26" s="4" t="s">
        <v>44</v>
      </c>
      <c r="B26" s="4" t="s">
        <v>95</v>
      </c>
    </row>
    <row r="27" spans="1:2" ht="15" thickBot="1" x14ac:dyDescent="0.35">
      <c r="A27" s="4" t="s">
        <v>45</v>
      </c>
      <c r="B27" s="4" t="s">
        <v>95</v>
      </c>
    </row>
    <row r="28" spans="1:2" ht="15" thickBot="1" x14ac:dyDescent="0.35">
      <c r="A28" s="4" t="s">
        <v>46</v>
      </c>
      <c r="B28" s="4" t="s">
        <v>95</v>
      </c>
    </row>
    <row r="29" spans="1:2" ht="15" thickBot="1" x14ac:dyDescent="0.35">
      <c r="A29" s="4" t="s">
        <v>47</v>
      </c>
      <c r="B29" s="4" t="s">
        <v>51</v>
      </c>
    </row>
    <row r="30" spans="1:2" ht="15" thickBot="1" x14ac:dyDescent="0.35">
      <c r="A30" s="4" t="s">
        <v>48</v>
      </c>
      <c r="B30" s="4" t="s">
        <v>51</v>
      </c>
    </row>
    <row r="31" spans="1:2" ht="15" thickBot="1" x14ac:dyDescent="0.35">
      <c r="A31" s="4" t="s">
        <v>49</v>
      </c>
      <c r="B31" s="4" t="s">
        <v>51</v>
      </c>
    </row>
    <row r="32" spans="1:2" ht="15" thickBot="1" x14ac:dyDescent="0.35">
      <c r="A32" s="4" t="s">
        <v>50</v>
      </c>
      <c r="B32" s="4" t="s">
        <v>51</v>
      </c>
    </row>
    <row r="33" spans="1:2" ht="15" thickBot="1" x14ac:dyDescent="0.35">
      <c r="A33" s="4" t="s">
        <v>51</v>
      </c>
      <c r="B33" s="4" t="s">
        <v>51</v>
      </c>
    </row>
    <row r="34" spans="1:2" ht="15" thickBot="1" x14ac:dyDescent="0.35">
      <c r="A34" s="4" t="s">
        <v>52</v>
      </c>
      <c r="B34" s="4" t="s">
        <v>51</v>
      </c>
    </row>
    <row r="35" spans="1:2" ht="15" thickBot="1" x14ac:dyDescent="0.35">
      <c r="A35" s="4" t="s">
        <v>53</v>
      </c>
      <c r="B35" s="4" t="s">
        <v>51</v>
      </c>
    </row>
    <row r="36" spans="1:2" ht="15" thickBot="1" x14ac:dyDescent="0.35">
      <c r="A36" s="4" t="s">
        <v>4</v>
      </c>
      <c r="B36" s="4" t="s">
        <v>96</v>
      </c>
    </row>
    <row r="37" spans="1:2" ht="15" thickBot="1" x14ac:dyDescent="0.35">
      <c r="A37" s="4" t="s">
        <v>54</v>
      </c>
      <c r="B37" s="4" t="s">
        <v>96</v>
      </c>
    </row>
    <row r="38" spans="1:2" ht="15" thickBot="1" x14ac:dyDescent="0.35">
      <c r="A38" s="4" t="s">
        <v>55</v>
      </c>
      <c r="B38" s="4" t="s">
        <v>55</v>
      </c>
    </row>
    <row r="39" spans="1:2" ht="15" thickBot="1" x14ac:dyDescent="0.35">
      <c r="A39" s="4" t="s">
        <v>56</v>
      </c>
      <c r="B39" s="4" t="s">
        <v>58</v>
      </c>
    </row>
    <row r="40" spans="1:2" ht="15" thickBot="1" x14ac:dyDescent="0.35">
      <c r="A40" s="4" t="s">
        <v>57</v>
      </c>
      <c r="B40" s="4" t="s">
        <v>58</v>
      </c>
    </row>
    <row r="41" spans="1:2" ht="15" thickBot="1" x14ac:dyDescent="0.35">
      <c r="A41" s="4" t="s">
        <v>58</v>
      </c>
      <c r="B41" s="4" t="s">
        <v>58</v>
      </c>
    </row>
    <row r="42" spans="1:2" ht="15" thickBot="1" x14ac:dyDescent="0.35">
      <c r="A42" s="4" t="s">
        <v>59</v>
      </c>
      <c r="B42" s="4" t="s">
        <v>6</v>
      </c>
    </row>
    <row r="43" spans="1:2" ht="15" thickBot="1" x14ac:dyDescent="0.35">
      <c r="A43" s="4" t="s">
        <v>60</v>
      </c>
      <c r="B43" s="4" t="s">
        <v>6</v>
      </c>
    </row>
    <row r="44" spans="1:2" ht="15" thickBot="1" x14ac:dyDescent="0.35">
      <c r="A44" s="4" t="s">
        <v>61</v>
      </c>
      <c r="B44" s="4" t="s">
        <v>6</v>
      </c>
    </row>
    <row r="45" spans="1:2" ht="15" thickBot="1" x14ac:dyDescent="0.35">
      <c r="A45" s="4" t="s">
        <v>6</v>
      </c>
      <c r="B45" s="4" t="s">
        <v>6</v>
      </c>
    </row>
    <row r="46" spans="1:2" ht="15" thickBot="1" x14ac:dyDescent="0.35">
      <c r="A46" s="4" t="s">
        <v>62</v>
      </c>
      <c r="B46" s="4" t="s">
        <v>1</v>
      </c>
    </row>
    <row r="47" spans="1:2" ht="15" thickBot="1" x14ac:dyDescent="0.35">
      <c r="A47" s="4" t="s">
        <v>63</v>
      </c>
      <c r="B47" s="4" t="s">
        <v>1</v>
      </c>
    </row>
    <row r="48" spans="1:2" ht="15" thickBot="1" x14ac:dyDescent="0.35">
      <c r="A48" s="4" t="s">
        <v>1</v>
      </c>
      <c r="B48" s="4" t="s">
        <v>1</v>
      </c>
    </row>
    <row r="49" spans="1:2" ht="15" thickBot="1" x14ac:dyDescent="0.35">
      <c r="A49" s="4" t="s">
        <v>64</v>
      </c>
      <c r="B49" s="4" t="s">
        <v>1</v>
      </c>
    </row>
    <row r="50" spans="1:2" ht="15" thickBot="1" x14ac:dyDescent="0.35">
      <c r="A50" s="4" t="s">
        <v>65</v>
      </c>
      <c r="B50" s="4" t="s">
        <v>65</v>
      </c>
    </row>
    <row r="51" spans="1:2" ht="15" thickBot="1" x14ac:dyDescent="0.35">
      <c r="A51" s="4" t="s">
        <v>3</v>
      </c>
      <c r="B51" s="4" t="s">
        <v>3</v>
      </c>
    </row>
    <row r="52" spans="1:2" ht="15" thickBot="1" x14ac:dyDescent="0.35">
      <c r="A52" s="4" t="s">
        <v>66</v>
      </c>
      <c r="B52" s="4" t="s">
        <v>3</v>
      </c>
    </row>
    <row r="53" spans="1:2" ht="15" thickBot="1" x14ac:dyDescent="0.35">
      <c r="A53" s="4" t="s">
        <v>67</v>
      </c>
      <c r="B53" s="4" t="s">
        <v>97</v>
      </c>
    </row>
    <row r="54" spans="1:2" ht="15" thickBot="1" x14ac:dyDescent="0.35">
      <c r="A54" s="4" t="s">
        <v>68</v>
      </c>
      <c r="B54" s="4" t="s">
        <v>97</v>
      </c>
    </row>
    <row r="55" spans="1:2" ht="15" thickBot="1" x14ac:dyDescent="0.35">
      <c r="A55" s="4" t="s">
        <v>69</v>
      </c>
      <c r="B55" s="4" t="s">
        <v>97</v>
      </c>
    </row>
    <row r="56" spans="1:2" ht="15" thickBot="1" x14ac:dyDescent="0.35">
      <c r="A56" s="4" t="s">
        <v>70</v>
      </c>
      <c r="B56" s="4" t="s">
        <v>97</v>
      </c>
    </row>
    <row r="57" spans="1:2" ht="15" thickBot="1" x14ac:dyDescent="0.35">
      <c r="A57" s="4" t="s">
        <v>71</v>
      </c>
      <c r="B57" s="4" t="s">
        <v>97</v>
      </c>
    </row>
    <row r="58" spans="1:2" ht="15" thickBot="1" x14ac:dyDescent="0.35">
      <c r="A58" s="4" t="s">
        <v>72</v>
      </c>
      <c r="B58" s="4" t="s">
        <v>97</v>
      </c>
    </row>
    <row r="59" spans="1:2" ht="15" thickBot="1" x14ac:dyDescent="0.35">
      <c r="A59" s="4" t="s">
        <v>73</v>
      </c>
      <c r="B59" s="4" t="s">
        <v>97</v>
      </c>
    </row>
    <row r="60" spans="1:2" ht="15" thickBot="1" x14ac:dyDescent="0.35">
      <c r="A60" s="4" t="s">
        <v>74</v>
      </c>
      <c r="B60" s="4" t="s">
        <v>97</v>
      </c>
    </row>
    <row r="61" spans="1:2" ht="15" thickBot="1" x14ac:dyDescent="0.35">
      <c r="A61" s="4" t="s">
        <v>75</v>
      </c>
      <c r="B61" s="4" t="s">
        <v>75</v>
      </c>
    </row>
    <row r="62" spans="1:2" ht="15" thickBot="1" x14ac:dyDescent="0.35">
      <c r="A62" s="4" t="s">
        <v>76</v>
      </c>
      <c r="B62" s="4" t="s">
        <v>98</v>
      </c>
    </row>
    <row r="63" spans="1:2" ht="15" thickBot="1" x14ac:dyDescent="0.35">
      <c r="A63" s="4" t="s">
        <v>5</v>
      </c>
      <c r="B63" s="4" t="s">
        <v>99</v>
      </c>
    </row>
    <row r="64" spans="1:2" ht="15" thickBot="1" x14ac:dyDescent="0.35">
      <c r="A64" s="4" t="s">
        <v>4</v>
      </c>
      <c r="B64" s="4" t="s">
        <v>99</v>
      </c>
    </row>
    <row r="65" spans="1:2" ht="15" thickBot="1" x14ac:dyDescent="0.35">
      <c r="A65" s="4" t="s">
        <v>77</v>
      </c>
      <c r="B65" s="4" t="s">
        <v>99</v>
      </c>
    </row>
    <row r="66" spans="1:2" ht="15" thickBot="1" x14ac:dyDescent="0.35">
      <c r="A66" s="4" t="s">
        <v>78</v>
      </c>
      <c r="B66" s="4" t="s">
        <v>99</v>
      </c>
    </row>
    <row r="67" spans="1:2" ht="15" thickBot="1" x14ac:dyDescent="0.35">
      <c r="A67" s="4" t="s">
        <v>79</v>
      </c>
      <c r="B67" s="4" t="s">
        <v>99</v>
      </c>
    </row>
    <row r="68" spans="1:2" ht="15" thickBot="1" x14ac:dyDescent="0.35">
      <c r="A68" s="4" t="s">
        <v>80</v>
      </c>
      <c r="B68" s="4" t="s">
        <v>99</v>
      </c>
    </row>
    <row r="69" spans="1:2" ht="27.6" thickBot="1" x14ac:dyDescent="0.35">
      <c r="A69" s="4" t="s">
        <v>81</v>
      </c>
      <c r="B69" s="4" t="s">
        <v>100</v>
      </c>
    </row>
    <row r="70" spans="1:2" ht="15" thickBot="1" x14ac:dyDescent="0.35">
      <c r="A70" s="4" t="s">
        <v>82</v>
      </c>
      <c r="B70" s="4" t="s">
        <v>82</v>
      </c>
    </row>
    <row r="71" spans="1:2" ht="15" thickBot="1" x14ac:dyDescent="0.35">
      <c r="A71" s="4" t="s">
        <v>83</v>
      </c>
      <c r="B71" s="4" t="s">
        <v>82</v>
      </c>
    </row>
    <row r="72" spans="1:2" ht="15" thickBot="1" x14ac:dyDescent="0.35">
      <c r="A72" s="4" t="s">
        <v>83</v>
      </c>
      <c r="B72" s="4" t="s">
        <v>101</v>
      </c>
    </row>
    <row r="73" spans="1:2" ht="15" thickBot="1" x14ac:dyDescent="0.35">
      <c r="A73" s="4" t="s">
        <v>82</v>
      </c>
      <c r="B73" s="4" t="s">
        <v>101</v>
      </c>
    </row>
    <row r="74" spans="1:2" ht="15" thickBot="1" x14ac:dyDescent="0.35">
      <c r="A74" s="4" t="s">
        <v>84</v>
      </c>
      <c r="B74" s="4" t="s">
        <v>85</v>
      </c>
    </row>
    <row r="75" spans="1:2" ht="15" thickBot="1" x14ac:dyDescent="0.35">
      <c r="A75" s="4" t="s">
        <v>85</v>
      </c>
      <c r="B75" s="4" t="s">
        <v>85</v>
      </c>
    </row>
    <row r="76" spans="1:2" ht="15" thickBot="1" x14ac:dyDescent="0.35">
      <c r="A76" s="4" t="s">
        <v>86</v>
      </c>
      <c r="B76" s="4" t="s">
        <v>102</v>
      </c>
    </row>
    <row r="77" spans="1:2" ht="15" thickBot="1" x14ac:dyDescent="0.35">
      <c r="A77" s="4" t="s">
        <v>87</v>
      </c>
      <c r="B77" s="4" t="s">
        <v>102</v>
      </c>
    </row>
    <row r="78" spans="1:2" ht="15" thickBot="1" x14ac:dyDescent="0.35">
      <c r="A78" s="4" t="s">
        <v>88</v>
      </c>
      <c r="B78" s="4" t="s">
        <v>102</v>
      </c>
    </row>
    <row r="79" spans="1:2" ht="15" thickBot="1" x14ac:dyDescent="0.35">
      <c r="A79" s="4" t="s">
        <v>89</v>
      </c>
      <c r="B79" s="4" t="s">
        <v>102</v>
      </c>
    </row>
    <row r="80" spans="1:2" ht="15" thickBot="1" x14ac:dyDescent="0.35">
      <c r="A80" s="4" t="s">
        <v>90</v>
      </c>
      <c r="B80" s="4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Category budget</vt:lpstr>
      <vt:lpstr>Expence Journal</vt:lpstr>
      <vt:lpstr>Summary of 2025</vt:lpstr>
      <vt:lpstr>Item &amp; 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gdsarath5323@gmail.com</dc:creator>
  <cp:lastModifiedBy>gdsarath5323@gmail.com</cp:lastModifiedBy>
  <dcterms:created xsi:type="dcterms:W3CDTF">2025-11-17T10:22:19Z</dcterms:created>
  <dcterms:modified xsi:type="dcterms:W3CDTF">2025-11-25T10:17:00Z</dcterms:modified>
</cp:coreProperties>
</file>